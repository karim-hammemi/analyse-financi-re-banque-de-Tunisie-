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arim\Downloads\"/>
    </mc:Choice>
  </mc:AlternateContent>
  <xr:revisionPtr revIDLastSave="0" documentId="13_ncr:1_{4D2127EB-C99D-46F3-96BB-8668FBA8CED1}" xr6:coauthVersionLast="47" xr6:coauthVersionMax="47" xr10:uidLastSave="{00000000-0000-0000-0000-000000000000}"/>
  <bookViews>
    <workbookView xWindow="-108" yWindow="-108" windowWidth="23256" windowHeight="12456" activeTab="7" xr2:uid="{47470E56-3E00-4925-BEDB-34759C28D0C5}"/>
  </bookViews>
  <sheets>
    <sheet name="Raw Data" sheetId="1" r:id="rId1"/>
    <sheet name="Clean Data" sheetId="2" r:id="rId2"/>
    <sheet name="Analyse des Ratios" sheetId="3" r:id="rId3"/>
    <sheet name="Analyse des tendences " sheetId="4" r:id="rId4"/>
    <sheet name="Résumé exécutif" sheetId="5" r:id="rId5"/>
    <sheet name="Pivot_Source" sheetId="6" state="hidden" r:id="rId6"/>
    <sheet name="Pivot_Table" sheetId="7" state="hidden" r:id="rId7"/>
    <sheet name="Dashboard" sheetId="8" r:id="rId8"/>
  </sheets>
  <definedNames>
    <definedName name="_xlchart.v5.0" hidden="1">Pivot_Source!$A$20:$A$31</definedName>
    <definedName name="_xlchart.v5.1" hidden="1">Pivot_Source!$B$19</definedName>
    <definedName name="_xlchart.v5.2" hidden="1">Pivot_Source!$B$20:$B$31</definedName>
    <definedName name="Slicer_Année">#N/A</definedName>
    <definedName name="Slicer_Indicateu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6" l="1"/>
  <c r="C38" i="6"/>
  <c r="C37" i="6"/>
  <c r="C36" i="6"/>
  <c r="C35" i="6"/>
  <c r="C34" i="6"/>
  <c r="B39" i="6"/>
  <c r="B38" i="6"/>
  <c r="B37" i="6"/>
  <c r="B36" i="6"/>
  <c r="B35" i="6"/>
  <c r="B34" i="6"/>
  <c r="B31" i="6"/>
  <c r="B30" i="6"/>
  <c r="B29" i="6"/>
  <c r="B28" i="6"/>
  <c r="B27" i="6"/>
  <c r="B26" i="6"/>
  <c r="B25" i="6"/>
  <c r="B24" i="6"/>
  <c r="B23" i="6"/>
  <c r="B22" i="6"/>
  <c r="B21" i="6"/>
  <c r="B20" i="6"/>
  <c r="C17" i="6"/>
  <c r="C16" i="6"/>
  <c r="C15" i="6"/>
  <c r="C14" i="6"/>
  <c r="C13" i="6"/>
  <c r="C12" i="6"/>
  <c r="C11" i="6"/>
  <c r="C10" i="6"/>
  <c r="C9" i="6"/>
  <c r="C8" i="6"/>
  <c r="C7" i="6"/>
  <c r="C6" i="6"/>
  <c r="C5" i="6"/>
  <c r="C4" i="6"/>
  <c r="C3" i="6"/>
  <c r="C2" i="6"/>
  <c r="B20" i="3"/>
  <c r="C19" i="3"/>
  <c r="B19" i="3"/>
  <c r="F8" i="5"/>
  <c r="F16" i="5"/>
  <c r="F15" i="5"/>
  <c r="F14" i="5"/>
  <c r="F13" i="5"/>
  <c r="C16" i="5"/>
  <c r="C15" i="5"/>
  <c r="C14" i="5"/>
  <c r="C13" i="5"/>
  <c r="F9" i="5"/>
  <c r="C9" i="5"/>
  <c r="C8" i="5"/>
  <c r="F6" i="5"/>
  <c r="F5" i="5"/>
  <c r="C6" i="5"/>
  <c r="C5" i="5"/>
  <c r="E12" i="4"/>
  <c r="D12" i="4"/>
  <c r="C12" i="4"/>
  <c r="B12" i="4"/>
  <c r="E11" i="4"/>
  <c r="D11" i="4"/>
  <c r="C11" i="4"/>
  <c r="B11" i="4"/>
  <c r="E10" i="4"/>
  <c r="D10" i="4"/>
  <c r="C10" i="4"/>
  <c r="B10" i="4"/>
  <c r="E9" i="4"/>
  <c r="D9" i="4"/>
  <c r="C9" i="4"/>
  <c r="B9" i="4"/>
  <c r="E7" i="4"/>
  <c r="E8" i="4"/>
  <c r="D8" i="4"/>
  <c r="C8" i="4"/>
  <c r="B8" i="4"/>
  <c r="D7" i="4"/>
  <c r="C7" i="4"/>
  <c r="B7" i="4"/>
  <c r="E6" i="4"/>
  <c r="D6" i="4"/>
  <c r="C6" i="4"/>
  <c r="B6" i="4"/>
  <c r="C5" i="4"/>
  <c r="B5" i="4"/>
  <c r="E5" i="4" s="1"/>
  <c r="C16" i="3"/>
  <c r="B16" i="3"/>
  <c r="C15" i="3"/>
  <c r="B15" i="3"/>
  <c r="C12" i="3"/>
  <c r="B12" i="3"/>
  <c r="B11" i="3"/>
  <c r="C11" i="3"/>
  <c r="C8" i="3"/>
  <c r="B8" i="3"/>
  <c r="B7" i="3"/>
  <c r="C7" i="3"/>
  <c r="B6" i="3"/>
  <c r="C6" i="3"/>
  <c r="C5" i="3"/>
  <c r="B5" i="3"/>
  <c r="C42" i="2"/>
  <c r="C48" i="2"/>
  <c r="B48" i="2"/>
  <c r="B42" i="2"/>
  <c r="B49" i="2" s="1"/>
  <c r="C35" i="2"/>
  <c r="B35" i="2"/>
  <c r="D30" i="2"/>
  <c r="D31" i="2"/>
  <c r="D32" i="2"/>
  <c r="D33" i="2"/>
  <c r="D34" i="2"/>
  <c r="D37" i="2"/>
  <c r="D38" i="2"/>
  <c r="D39" i="2"/>
  <c r="D40" i="2"/>
  <c r="D41" i="2"/>
  <c r="D44" i="2"/>
  <c r="D45" i="2"/>
  <c r="D46" i="2"/>
  <c r="D47" i="2"/>
  <c r="D29" i="2"/>
  <c r="C12" i="2"/>
  <c r="B12" i="2"/>
  <c r="C9" i="2"/>
  <c r="C13" i="2" s="1"/>
  <c r="C20" i="2" s="1"/>
  <c r="C23" i="2" s="1"/>
  <c r="C25" i="2" s="1"/>
  <c r="B9" i="2"/>
  <c r="D6" i="2"/>
  <c r="D7" i="2"/>
  <c r="D8" i="2"/>
  <c r="D10" i="2"/>
  <c r="D11" i="2"/>
  <c r="D14" i="2"/>
  <c r="D15" i="2"/>
  <c r="D16" i="2"/>
  <c r="D17" i="2"/>
  <c r="D18" i="2"/>
  <c r="D19" i="2"/>
  <c r="D22" i="2"/>
  <c r="D24" i="2"/>
  <c r="D5" i="2"/>
  <c r="D5" i="4" l="1"/>
  <c r="D48" i="2"/>
  <c r="D35" i="2"/>
  <c r="D9" i="2"/>
  <c r="C49" i="2"/>
  <c r="D49" i="2" s="1"/>
  <c r="D42" i="2"/>
  <c r="B13" i="2"/>
  <c r="B20" i="2" s="1"/>
  <c r="B23" i="2" s="1"/>
  <c r="B25" i="2" s="1"/>
  <c r="D25" i="2" s="1"/>
  <c r="D12" i="2"/>
  <c r="D13" i="2" l="1"/>
  <c r="D20" i="2"/>
  <c r="D23" i="2"/>
</calcChain>
</file>

<file path=xl/sharedStrings.xml><?xml version="1.0" encoding="utf-8"?>
<sst xmlns="http://schemas.openxmlformats.org/spreadsheetml/2006/main" count="240" uniqueCount="152">
  <si>
    <t>Item</t>
  </si>
  <si>
    <t>2024 (K.TND)</t>
  </si>
  <si>
    <t>2023 (K.TND)</t>
  </si>
  <si>
    <t>Intérêts et revenus assimilés</t>
  </si>
  <si>
    <t>Commissions (produits)</t>
  </si>
  <si>
    <t>Revenus portefeuille investissement</t>
  </si>
  <si>
    <t>Intérêts et charges assimilées</t>
  </si>
  <si>
    <t>Commissions (charges)</t>
  </si>
  <si>
    <t>Produit Net Bancaire (PNB)</t>
  </si>
  <si>
    <t>Frais de personnel</t>
  </si>
  <si>
    <t>Caisse et avoirs BCT</t>
  </si>
  <si>
    <t>Créances établissements bancaires</t>
  </si>
  <si>
    <t>Portefeuille investissement</t>
  </si>
  <si>
    <t>Valeurs immobilisées</t>
  </si>
  <si>
    <t>Autres actifs</t>
  </si>
  <si>
    <t>Total Actifs</t>
  </si>
  <si>
    <t>Emprunts et ressources spéciales</t>
  </si>
  <si>
    <t>Autres passifs</t>
  </si>
  <si>
    <t>Total Passifs</t>
  </si>
  <si>
    <t>Capital social</t>
  </si>
  <si>
    <t>Réserves</t>
  </si>
  <si>
    <t>Total Capitaux Propres</t>
  </si>
  <si>
    <t>BILAN</t>
  </si>
  <si>
    <t>ETAT DE RESULTAT</t>
  </si>
  <si>
    <t>Gains sur portefeuille commercial</t>
  </si>
  <si>
    <t>Total produits exploitation</t>
  </si>
  <si>
    <t>Total charges exploitation</t>
  </si>
  <si>
    <t>Dotations provisions sur créances</t>
  </si>
  <si>
    <t>Dotations provisions portefeuille</t>
  </si>
  <si>
    <t>Autres produits exploitation</t>
  </si>
  <si>
    <t>Charges générales exploitation</t>
  </si>
  <si>
    <t>Dotations aux amortissements</t>
  </si>
  <si>
    <t>Résultat exploitation</t>
  </si>
  <si>
    <t>Eléments ordinaires (solde)</t>
  </si>
  <si>
    <t>Impôt sur les bénéfices</t>
  </si>
  <si>
    <t>Résultat net activités ordinaires</t>
  </si>
  <si>
    <t>Eléments extraordinaires (solde)</t>
  </si>
  <si>
    <t>Résultat net de lexercice</t>
  </si>
  <si>
    <t>Créances sur la clientèle</t>
  </si>
  <si>
    <t>Banque Centrale et CCP</t>
  </si>
  <si>
    <t>Dépôts établissements bancaires</t>
  </si>
  <si>
    <t>Dépôts de la clientèle</t>
  </si>
  <si>
    <t>Report à nouveau</t>
  </si>
  <si>
    <t>Résultat de lexercice</t>
  </si>
  <si>
    <t>Total Passifs + Capitaux Propres</t>
  </si>
  <si>
    <t>Banque de Tunisie — Analyse Financière 2024</t>
  </si>
  <si>
    <t>Source: Rapport Annuel BT 2024 | Unité: Milliers de Dinars Tunisiens (K.TND)</t>
  </si>
  <si>
    <t>Variation YoY</t>
  </si>
  <si>
    <t>Passifs</t>
  </si>
  <si>
    <t>Capitaux Propres</t>
  </si>
  <si>
    <t>Actifs</t>
  </si>
  <si>
    <t>Banque de Tunisie — Analyse des Ratios Financiers</t>
  </si>
  <si>
    <t>Ratios calculés sur base des états financiers 2024 vs 2023</t>
  </si>
  <si>
    <t>RATIOS DE RENTABILITÉ</t>
  </si>
  <si>
    <t>Interprétation</t>
  </si>
  <si>
    <t>Marge Nette (Net Profit Margin)</t>
  </si>
  <si>
    <t>Retour sur Actifs (ROA)</t>
  </si>
  <si>
    <t>Retour sur Capitaux Propres (ROE)</t>
  </si>
  <si>
    <t>Coefficient d'exploitation</t>
  </si>
  <si>
    <t>RATIOS DE SOLVABILITÉ</t>
  </si>
  <si>
    <t>Ratio Dettes / Capitaux Propres</t>
  </si>
  <si>
    <t>Ratio de Solvabilité</t>
  </si>
  <si>
    <t>Ratio Crédits / Dépôts</t>
  </si>
  <si>
    <t>RATIOS BANCAIRES SPÉCIFIQUES</t>
  </si>
  <si>
    <t>Marge d'Intérêt Nette (NIM)</t>
  </si>
  <si>
    <t>Banque de Tunisie — Analyse des Tendances 2023 vs 2024</t>
  </si>
  <si>
    <t>Evolution des indicateurs financiers clés — en K.TND</t>
  </si>
  <si>
    <t>Indicateur</t>
  </si>
  <si>
    <t>Variation (K.TND)</t>
  </si>
  <si>
    <t>Croissance %</t>
  </si>
  <si>
    <t>Total Produits d'exploitation</t>
  </si>
  <si>
    <t>Résultat d'exploitation</t>
  </si>
  <si>
    <t>Résultat Net de l'exercice</t>
  </si>
  <si>
    <t>CONCLUSIONS CLÉS</t>
  </si>
  <si>
    <t>✅  Le Résultat Net a progressé de +10,6% passant de 170 327 à 188 415 K.TND</t>
  </si>
  <si>
    <t>✅ Le Total Actifs a crû de +11,9% ,expansion significative du bilan</t>
  </si>
  <si>
    <t>✅ Les Dépôts clientèle ont augmenté de +15,4% ,forte confiance des clients</t>
  </si>
  <si>
    <t>✅ Le PNB a progressé de +6,7% , solidité du coeur du métier bancaire</t>
  </si>
  <si>
    <t>⚠️Les Créances clientèle ont crû de +4,1% , croissance modérée des prêts</t>
  </si>
  <si>
    <t>⚠️Les Capitaux Propres ont augmenté de +8,5% , renforcement du capital</t>
  </si>
  <si>
    <t>BANQUE DE TUNISIE — TABLEAU DE BORD FINANCIER 2024</t>
  </si>
  <si>
    <t>Analyse des performances financières | Source: Rapport Annuel 2024</t>
  </si>
  <si>
    <t>INDICATEURS CLÉS DE PERFORMANCE</t>
  </si>
  <si>
    <t>Total Actifs (K.TND)</t>
  </si>
  <si>
    <t>Croissance vs 2023</t>
  </si>
  <si>
    <t>Résultat Net (K.TND)</t>
  </si>
  <si>
    <t>Produit Net Bancaire (K.TND)</t>
  </si>
  <si>
    <t>Dépôts de la clientèle (K.TND)</t>
  </si>
  <si>
    <t>SYNTHÈSE DES RATIOS</t>
  </si>
  <si>
    <t>Ratio</t>
  </si>
  <si>
    <t>Marge Nette</t>
  </si>
  <si>
    <t>ROE</t>
  </si>
  <si>
    <t>ROA</t>
  </si>
  <si>
    <t>Ratio Crédits/Dépôts</t>
  </si>
  <si>
    <t>NIM</t>
  </si>
  <si>
    <t>Ratio Dettes/CP</t>
  </si>
  <si>
    <t>Ratio Solvabilité</t>
  </si>
  <si>
    <t>CONCLUSIONS DE L'ANALYSTE</t>
  </si>
  <si>
    <t>✅ Rentabilité en hausse , ROE 13,3% et Marge Nette 21,3% démontrent une banque profitable</t>
  </si>
  <si>
    <t>✅ Efficacité opérationnelle excellente , Coefficient d'exploitation 32,3% bien sous le seuil de 60%</t>
  </si>
  <si>
    <t>✅ Forte croissance des dépôts +15,4% , signal de confiance élevée de la clientèle</t>
  </si>
  <si>
    <t>✅ Bilan solide , Total Actifs en hausse de +11,9% à 8,6 milliards K.TND</t>
  </si>
  <si>
    <t>⚠️ NIM en légère compression 3,5% vs 3,6% , pression sur les marges d'intérêt à surveiller</t>
  </si>
  <si>
    <t>⚠️ Levier financier élevé 5,12x , normal pour une banque mais nécessite un suivi</t>
  </si>
  <si>
    <t>-</t>
  </si>
  <si>
    <t>RATIO SUPPLÉMENTAIRE — QUALITÉ DES ACTIFS</t>
  </si>
  <si>
    <t xml:space="preserve">Coût du Risque </t>
  </si>
  <si>
    <t>Variation des Provisions</t>
  </si>
  <si>
    <t>Année</t>
  </si>
  <si>
    <t>Valeur</t>
  </si>
  <si>
    <t>Total Produits</t>
  </si>
  <si>
    <t>PNB</t>
  </si>
  <si>
    <t>Résultat Exploitation</t>
  </si>
  <si>
    <t>Résultat Net</t>
  </si>
  <si>
    <t>Dépôts Clientèle</t>
  </si>
  <si>
    <t>Créances Clientèle</t>
  </si>
  <si>
    <t>Row Labels</t>
  </si>
  <si>
    <t>Grand Total</t>
  </si>
  <si>
    <t>Column Labels</t>
  </si>
  <si>
    <t>Sum of Valeur</t>
  </si>
  <si>
    <t>BANQUE DE TUNISIE — TABLEAU DE BORD INTERACTIF</t>
  </si>
  <si>
    <t>Etape</t>
  </si>
  <si>
    <t>Charges exploitation</t>
  </si>
  <si>
    <t>Provisions</t>
  </si>
  <si>
    <t>Frais Personnel</t>
  </si>
  <si>
    <t>Charges Générales</t>
  </si>
  <si>
    <t>Amortissements</t>
  </si>
  <si>
    <t>Autres produits</t>
  </si>
  <si>
    <t>Impôts</t>
  </si>
  <si>
    <t>Eléments Extraord.</t>
  </si>
  <si>
    <t>valeur</t>
  </si>
  <si>
    <t>ratio</t>
  </si>
  <si>
    <t>Marge Nette %</t>
  </si>
  <si>
    <t>ROA %</t>
  </si>
  <si>
    <t>ROE %</t>
  </si>
  <si>
    <t>NIM %</t>
  </si>
  <si>
    <t>Solvabilité %</t>
  </si>
  <si>
    <t>2024</t>
  </si>
  <si>
    <t>2023</t>
  </si>
  <si>
    <t>ANALYSE DE LA PERFORMANCE</t>
  </si>
  <si>
    <t>COMPARAISON DES RATIOS</t>
  </si>
  <si>
    <t>Source: Rapport Annuel Banque de Tunisie 2024 | Analyse: Karim Hammemi | Outil: Microsoft Excel</t>
  </si>
  <si>
    <t>21,3% en 2024 vs 20,9% en 2023 , En amélioration. La banque conserve 21 centimes de profit pour chaque dinar de produits. Signe de bonnemaîtrise des charges.</t>
  </si>
  <si>
    <t>2,2% stable en 2024 et 2023 , Chaque dinar d'actif génère 2,2 centimes de profit net. Ratio solide pour une
 banque tunisienne.</t>
  </si>
  <si>
    <t>13,3% en 2024 vs 13,1% en 2023 , En légère hausse. Pour chaque 100 TND investi par les actionnaires, la banque génère 13,3 TND de profit. Très bon rendement.</t>
  </si>
  <si>
    <t>32,3% en 2024 vs 32,1% en 2023 , Excellent. Bien en dessous du seuil de 60%. La banque est très efficace
 opérationnellement , seulement 32 centimes de charges pour chaque dinar de PNB.</t>
  </si>
  <si>
    <t>5,12x en 2024 vs 4,93x en 2023 , Légère hausse du levier. Normal pour une banque. Signifie que pour 1 TND de capitaux propres, la banque porte 5,12 TND de dettes.</t>
  </si>
  <si>
    <t>16,3% en 2024 vs 16,9% en 2023 , Légère baisse mais reste solide. 16,3% des actifs sont financés par fonds propres. Bonne protection contre les risques.</t>
  </si>
  <si>
    <t>90,6% en 2024 vs 100,4% en 2023 , Amélioration significative. En 2023 la banque prêtait plus qu'elle ne 
collectait (risque). En 2024 elle est revenue dans la zone cible de 70-90%. Très positif.</t>
  </si>
  <si>
    <t>3,5% en 2024 vs 3,6% en 2023 , Légère compression. La marge entre ce que la banque gagne sur les prêts et ce qu'elle paie sur les dépôts se réduit légèrement. À surveiller.</t>
  </si>
  <si>
    <t>Baisse de 0,5% vs 1,0% en 2023 , La qualité du portefeuille de crédit s'est nettement améliorée</t>
  </si>
  <si>
    <t>Provisions réduites de -43,7% , principal moteur de la hausse du Résultat d'exploitation (+19,7%)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</si>
</sst>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4"/>
      <color theme="0"/>
      <name val="Calibri"/>
      <family val="2"/>
      <scheme val="minor"/>
    </font>
    <font>
      <i/>
      <sz val="9"/>
      <color theme="0" tint="-0.34998626667073579"/>
      <name val="Calibri"/>
      <family val="2"/>
      <scheme val="minor"/>
    </font>
    <font>
      <sz val="8"/>
      <name val="Calibri"/>
      <family val="2"/>
      <scheme val="minor"/>
    </font>
    <font>
      <b/>
      <sz val="11"/>
      <name val="Calibri"/>
      <family val="2"/>
      <scheme val="minor"/>
    </font>
    <font>
      <i/>
      <sz val="11"/>
      <color theme="1"/>
      <name val="Calibri"/>
      <family val="2"/>
      <scheme val="minor"/>
    </font>
    <font>
      <b/>
      <sz val="13"/>
      <color theme="0"/>
      <name val="Calibri"/>
      <family val="2"/>
      <scheme val="minor"/>
    </font>
    <font>
      <sz val="10"/>
      <color theme="1"/>
      <name val="Calibri"/>
      <family val="2"/>
      <scheme val="minor"/>
    </font>
    <font>
      <b/>
      <sz val="16"/>
      <color theme="0"/>
      <name val="Calibri"/>
      <family val="2"/>
      <scheme val="minor"/>
    </font>
    <font>
      <b/>
      <sz val="12"/>
      <color theme="1"/>
      <name val="Calibri"/>
      <family val="2"/>
      <scheme val="minor"/>
    </font>
    <font>
      <b/>
      <sz val="22"/>
      <color theme="0"/>
      <name val="Calibri"/>
      <family val="2"/>
      <scheme val="minor"/>
    </font>
  </fonts>
  <fills count="1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tint="-4.9989318521683403E-2"/>
        <bgColor indexed="64"/>
      </patternFill>
    </fill>
  </fills>
  <borders count="9">
    <border>
      <left/>
      <right/>
      <top/>
      <bottom/>
      <diagonal/>
    </border>
    <border>
      <left/>
      <right/>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auto="1"/>
      </top>
      <bottom/>
      <diagonal/>
    </border>
  </borders>
  <cellStyleXfs count="2">
    <xf numFmtId="0" fontId="0" fillId="0" borderId="0"/>
    <xf numFmtId="9" fontId="3" fillId="0" borderId="0" applyFont="0" applyFill="0" applyBorder="0" applyAlignment="0" applyProtection="0"/>
  </cellStyleXfs>
  <cellXfs count="97">
    <xf numFmtId="0" fontId="0" fillId="0" borderId="0" xfId="0"/>
    <xf numFmtId="0" fontId="2" fillId="0" borderId="0" xfId="0" applyFont="1"/>
    <xf numFmtId="0" fontId="1" fillId="2" borderId="0" xfId="0" applyFont="1" applyFill="1"/>
    <xf numFmtId="0" fontId="1" fillId="2" borderId="0" xfId="0" applyFont="1" applyFill="1" applyAlignment="1">
      <alignment horizontal="right"/>
    </xf>
    <xf numFmtId="3" fontId="0" fillId="0" borderId="0" xfId="0" applyNumberFormat="1"/>
    <xf numFmtId="164" fontId="0" fillId="0" borderId="0" xfId="0" applyNumberFormat="1"/>
    <xf numFmtId="0" fontId="2" fillId="3" borderId="1" xfId="0" applyFont="1" applyFill="1" applyBorder="1"/>
    <xf numFmtId="3" fontId="2" fillId="3" borderId="1" xfId="0" applyNumberFormat="1" applyFont="1" applyFill="1" applyBorder="1"/>
    <xf numFmtId="164" fontId="2" fillId="3" borderId="1" xfId="0" applyNumberFormat="1" applyFont="1" applyFill="1" applyBorder="1"/>
    <xf numFmtId="0" fontId="1" fillId="2" borderId="1" xfId="0" applyFont="1" applyFill="1" applyBorder="1"/>
    <xf numFmtId="0" fontId="1" fillId="2" borderId="1" xfId="0" applyFont="1" applyFill="1" applyBorder="1" applyAlignment="1">
      <alignment horizontal="right"/>
    </xf>
    <xf numFmtId="164" fontId="0" fillId="0" borderId="0" xfId="1" applyNumberFormat="1" applyFont="1"/>
    <xf numFmtId="164" fontId="2" fillId="3" borderId="1" xfId="1" applyNumberFormat="1" applyFont="1" applyFill="1" applyBorder="1"/>
    <xf numFmtId="164" fontId="8" fillId="0" borderId="0" xfId="0" applyNumberFormat="1" applyFont="1" applyAlignment="1">
      <alignment horizontal="right"/>
    </xf>
    <xf numFmtId="165" fontId="0" fillId="0" borderId="0" xfId="1" applyNumberFormat="1" applyFont="1"/>
    <xf numFmtId="165" fontId="2" fillId="3" borderId="1" xfId="1" applyNumberFormat="1" applyFont="1" applyFill="1" applyBorder="1"/>
    <xf numFmtId="0" fontId="0" fillId="0" borderId="0" xfId="0" applyAlignment="1">
      <alignment wrapText="1"/>
    </xf>
    <xf numFmtId="0" fontId="0" fillId="0" borderId="0" xfId="0" applyAlignment="1">
      <alignment vertical="center"/>
    </xf>
    <xf numFmtId="164" fontId="0" fillId="0" borderId="0" xfId="0" applyNumberFormat="1" applyAlignment="1">
      <alignment vertical="center"/>
    </xf>
    <xf numFmtId="2" fontId="0" fillId="0" borderId="0" xfId="0" applyNumberFormat="1" applyAlignment="1">
      <alignment vertical="center"/>
    </xf>
    <xf numFmtId="164" fontId="0" fillId="0" borderId="0" xfId="1" applyNumberFormat="1" applyFont="1" applyAlignment="1">
      <alignment vertical="center"/>
    </xf>
    <xf numFmtId="0" fontId="2" fillId="4" borderId="1" xfId="0" applyFont="1" applyFill="1" applyBorder="1"/>
    <xf numFmtId="0" fontId="2" fillId="4" borderId="1" xfId="0" applyFont="1" applyFill="1" applyBorder="1" applyAlignment="1">
      <alignment vertical="center"/>
    </xf>
    <xf numFmtId="0" fontId="0" fillId="5" borderId="0" xfId="0" applyFill="1"/>
    <xf numFmtId="3" fontId="0" fillId="5" borderId="0" xfId="0" applyNumberFormat="1" applyFill="1"/>
    <xf numFmtId="164" fontId="0" fillId="5" borderId="0" xfId="1" applyNumberFormat="1" applyFont="1" applyFill="1"/>
    <xf numFmtId="3" fontId="2" fillId="0" borderId="0" xfId="0" applyNumberFormat="1" applyFont="1"/>
    <xf numFmtId="164" fontId="2" fillId="0" borderId="0" xfId="1" applyNumberFormat="1" applyFont="1"/>
    <xf numFmtId="0" fontId="2" fillId="5" borderId="0" xfId="0" applyFont="1" applyFill="1"/>
    <xf numFmtId="3" fontId="2" fillId="5" borderId="0" xfId="0" applyNumberFormat="1" applyFont="1" applyFill="1"/>
    <xf numFmtId="164" fontId="2" fillId="5" borderId="0" xfId="1" applyNumberFormat="1" applyFont="1" applyFill="1"/>
    <xf numFmtId="0" fontId="0" fillId="0" borderId="1" xfId="0" applyBorder="1"/>
    <xf numFmtId="3" fontId="0" fillId="0" borderId="1" xfId="0" applyNumberFormat="1" applyBorder="1"/>
    <xf numFmtId="164" fontId="0" fillId="0" borderId="1" xfId="1" applyNumberFormat="1" applyFont="1" applyBorder="1"/>
    <xf numFmtId="3" fontId="0" fillId="6" borderId="3" xfId="0" applyNumberFormat="1" applyFill="1" applyBorder="1" applyAlignment="1">
      <alignment wrapText="1"/>
    </xf>
    <xf numFmtId="3" fontId="0" fillId="7" borderId="3" xfId="0" applyNumberFormat="1" applyFill="1" applyBorder="1" applyAlignment="1">
      <alignment wrapText="1"/>
    </xf>
    <xf numFmtId="164" fontId="0" fillId="6" borderId="5" xfId="1" applyNumberFormat="1" applyFont="1" applyFill="1" applyBorder="1" applyAlignment="1">
      <alignment wrapText="1"/>
    </xf>
    <xf numFmtId="164" fontId="0" fillId="7" borderId="5" xfId="1" applyNumberFormat="1" applyFont="1" applyFill="1" applyBorder="1" applyAlignment="1">
      <alignment wrapText="1"/>
    </xf>
    <xf numFmtId="3" fontId="0" fillId="8" borderId="3" xfId="0" applyNumberFormat="1" applyFill="1" applyBorder="1" applyAlignment="1">
      <alignment wrapText="1"/>
    </xf>
    <xf numFmtId="3" fontId="0" fillId="9" borderId="3" xfId="0" applyNumberFormat="1" applyFill="1" applyBorder="1" applyAlignment="1">
      <alignment wrapText="1"/>
    </xf>
    <xf numFmtId="164" fontId="0" fillId="8" borderId="5" xfId="1" applyNumberFormat="1" applyFont="1" applyFill="1" applyBorder="1" applyAlignment="1">
      <alignment wrapText="1"/>
    </xf>
    <xf numFmtId="164" fontId="0" fillId="9" borderId="5" xfId="1" applyNumberFormat="1" applyFont="1" applyFill="1" applyBorder="1" applyAlignment="1">
      <alignment wrapText="1"/>
    </xf>
    <xf numFmtId="0" fontId="2" fillId="4" borderId="3" xfId="0" applyFont="1" applyFill="1" applyBorder="1" applyAlignment="1">
      <alignment wrapText="1"/>
    </xf>
    <xf numFmtId="164" fontId="0" fillId="10" borderId="7" xfId="1" applyNumberFormat="1" applyFont="1" applyFill="1" applyBorder="1" applyAlignment="1">
      <alignment wrapText="1"/>
    </xf>
    <xf numFmtId="164" fontId="0" fillId="0" borderId="7" xfId="1" applyNumberFormat="1" applyFont="1" applyBorder="1" applyAlignment="1">
      <alignment wrapText="1"/>
    </xf>
    <xf numFmtId="2" fontId="0" fillId="0" borderId="5" xfId="0" applyNumberFormat="1" applyBorder="1" applyAlignment="1">
      <alignment wrapText="1"/>
    </xf>
    <xf numFmtId="164" fontId="0" fillId="0" borderId="5" xfId="1" applyNumberFormat="1" applyFont="1" applyBorder="1" applyAlignment="1">
      <alignment wrapText="1"/>
    </xf>
    <xf numFmtId="0" fontId="2" fillId="6" borderId="2" xfId="0" applyFont="1" applyFill="1" applyBorder="1" applyAlignment="1">
      <alignment vertical="center" wrapText="1"/>
    </xf>
    <xf numFmtId="0" fontId="2" fillId="6" borderId="4" xfId="0" applyFont="1" applyFill="1" applyBorder="1" applyAlignment="1">
      <alignment vertical="center" wrapText="1"/>
    </xf>
    <xf numFmtId="0" fontId="0" fillId="0" borderId="0" xfId="0" applyAlignment="1">
      <alignment vertical="center" wrapText="1"/>
    </xf>
    <xf numFmtId="0" fontId="2" fillId="8" borderId="2" xfId="0" applyFont="1" applyFill="1" applyBorder="1" applyAlignment="1">
      <alignment vertical="center" wrapText="1"/>
    </xf>
    <xf numFmtId="0" fontId="2" fillId="8" borderId="4" xfId="0" applyFont="1" applyFill="1" applyBorder="1" applyAlignment="1">
      <alignment vertical="center" wrapText="1"/>
    </xf>
    <xf numFmtId="0" fontId="2" fillId="4" borderId="2" xfId="0" applyFont="1" applyFill="1" applyBorder="1" applyAlignment="1">
      <alignment vertical="center" wrapText="1"/>
    </xf>
    <xf numFmtId="0" fontId="0" fillId="10" borderId="6" xfId="0" applyFill="1" applyBorder="1" applyAlignment="1">
      <alignment vertical="center" wrapText="1"/>
    </xf>
    <xf numFmtId="0" fontId="0" fillId="0" borderId="6" xfId="0" applyBorder="1" applyAlignment="1">
      <alignment vertical="center" wrapText="1"/>
    </xf>
    <xf numFmtId="0" fontId="0" fillId="0" borderId="4" xfId="0" applyBorder="1" applyAlignment="1">
      <alignment vertical="center" wrapText="1"/>
    </xf>
    <xf numFmtId="0" fontId="2" fillId="7" borderId="2" xfId="0" applyFont="1" applyFill="1" applyBorder="1" applyAlignment="1">
      <alignment vertical="center" wrapText="1"/>
    </xf>
    <xf numFmtId="0" fontId="2" fillId="7" borderId="4" xfId="0" applyFont="1" applyFill="1" applyBorder="1" applyAlignment="1">
      <alignment vertical="center" wrapText="1"/>
    </xf>
    <xf numFmtId="0" fontId="2" fillId="9" borderId="2" xfId="0" applyFont="1" applyFill="1" applyBorder="1" applyAlignment="1">
      <alignment vertical="center" wrapText="1"/>
    </xf>
    <xf numFmtId="0" fontId="2" fillId="9" borderId="4" xfId="0" applyFont="1" applyFill="1" applyBorder="1" applyAlignment="1">
      <alignment vertical="center" wrapText="1"/>
    </xf>
    <xf numFmtId="0" fontId="2" fillId="4" borderId="0" xfId="0" applyFont="1" applyFill="1" applyAlignment="1">
      <alignment vertical="center"/>
    </xf>
    <xf numFmtId="0" fontId="0" fillId="0" borderId="0" xfId="0" pivotButton="1"/>
    <xf numFmtId="0" fontId="0" fillId="0" borderId="0" xfId="0" applyAlignment="1">
      <alignment horizontal="left"/>
    </xf>
    <xf numFmtId="0" fontId="2" fillId="0" borderId="0" xfId="0" applyFont="1" applyAlignment="1">
      <alignment horizontal="right"/>
    </xf>
    <xf numFmtId="9" fontId="0" fillId="0" borderId="0" xfId="1" applyFont="1"/>
    <xf numFmtId="0" fontId="10" fillId="5" borderId="0" xfId="0" applyFont="1" applyFill="1" applyAlignment="1">
      <alignment horizontal="left"/>
    </xf>
    <xf numFmtId="0" fontId="10" fillId="5" borderId="1" xfId="0" applyFont="1" applyFill="1" applyBorder="1" applyAlignment="1">
      <alignment horizontal="left"/>
    </xf>
    <xf numFmtId="0" fontId="0" fillId="0" borderId="8" xfId="0" applyBorder="1" applyAlignment="1">
      <alignment horizontal="center"/>
    </xf>
    <xf numFmtId="0" fontId="9" fillId="2" borderId="0" xfId="0" applyFont="1" applyFill="1" applyAlignment="1">
      <alignment horizontal="center"/>
    </xf>
    <xf numFmtId="0" fontId="5" fillId="0" borderId="0" xfId="0" applyFont="1" applyAlignment="1">
      <alignment horizontal="left"/>
    </xf>
    <xf numFmtId="0" fontId="0" fillId="0" borderId="0" xfId="0" applyAlignment="1">
      <alignment horizontal="center"/>
    </xf>
    <xf numFmtId="0" fontId="2" fillId="4" borderId="1" xfId="0" applyFont="1" applyFill="1" applyBorder="1" applyAlignment="1">
      <alignment horizontal="left"/>
    </xf>
    <xf numFmtId="0" fontId="7" fillId="4" borderId="0" xfId="0" applyFont="1" applyFill="1" applyAlignment="1">
      <alignment horizontal="left"/>
    </xf>
    <xf numFmtId="3" fontId="2" fillId="4" borderId="0" xfId="0" applyNumberFormat="1" applyFont="1" applyFill="1" applyAlignment="1">
      <alignment horizontal="left"/>
    </xf>
    <xf numFmtId="0" fontId="4" fillId="2" borderId="0" xfId="0" applyFont="1" applyFill="1" applyAlignment="1">
      <alignment horizontal="center"/>
    </xf>
    <xf numFmtId="0" fontId="5" fillId="0" borderId="0" xfId="0" applyFont="1" applyAlignment="1">
      <alignment horizontal="center"/>
    </xf>
    <xf numFmtId="0" fontId="9" fillId="2" borderId="0" xfId="0" applyFont="1" applyFill="1" applyAlignment="1">
      <alignment horizontal="center" vertical="center"/>
    </xf>
    <xf numFmtId="0" fontId="5" fillId="0" borderId="0" xfId="0" applyFont="1" applyAlignment="1">
      <alignment horizontal="left" vertical="top"/>
    </xf>
    <xf numFmtId="0" fontId="0" fillId="0" borderId="0" xfId="0" applyAlignment="1">
      <alignment horizontal="center" vertical="center"/>
    </xf>
    <xf numFmtId="0" fontId="12" fillId="4" borderId="0" xfId="0" applyFont="1" applyFill="1" applyAlignment="1">
      <alignment horizontal="center" wrapText="1"/>
    </xf>
    <xf numFmtId="0" fontId="10" fillId="3" borderId="2" xfId="0" applyFont="1" applyFill="1" applyBorder="1" applyAlignment="1">
      <alignment horizontal="left" vertical="center" wrapText="1"/>
    </xf>
    <xf numFmtId="0" fontId="10" fillId="3" borderId="8"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0" fillId="0" borderId="0" xfId="0" applyAlignment="1">
      <alignment horizontal="center" wrapText="1"/>
    </xf>
    <xf numFmtId="0" fontId="11" fillId="2" borderId="0" xfId="0" applyFont="1" applyFill="1" applyAlignment="1">
      <alignment horizontal="center" vertical="center" wrapText="1"/>
    </xf>
    <xf numFmtId="0" fontId="5" fillId="0" borderId="0" xfId="0" applyFont="1" applyAlignment="1">
      <alignment horizontal="left"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7" xfId="0" applyFont="1" applyBorder="1" applyAlignment="1">
      <alignment horizontal="left" vertical="center" wrapText="1"/>
    </xf>
    <xf numFmtId="0" fontId="10" fillId="3" borderId="6" xfId="0" applyFont="1" applyFill="1" applyBorder="1" applyAlignment="1">
      <alignment horizontal="left" vertical="center" wrapText="1"/>
    </xf>
    <xf numFmtId="0" fontId="10" fillId="3" borderId="0" xfId="0" applyFont="1" applyFill="1" applyAlignment="1">
      <alignment horizontal="left" vertical="center" wrapText="1"/>
    </xf>
    <xf numFmtId="0" fontId="10" fillId="3" borderId="7" xfId="0" applyFont="1" applyFill="1" applyBorder="1" applyAlignment="1">
      <alignment horizontal="left" vertical="center" wrapText="1"/>
    </xf>
    <xf numFmtId="0" fontId="10" fillId="0" borderId="4" xfId="0" applyFont="1" applyBorder="1" applyAlignment="1">
      <alignment horizontal="left" vertical="center" wrapText="1"/>
    </xf>
    <xf numFmtId="0" fontId="10" fillId="0" borderId="1" xfId="0" applyFont="1" applyBorder="1" applyAlignment="1">
      <alignment horizontal="left" vertical="center" wrapText="1"/>
    </xf>
    <xf numFmtId="0" fontId="10" fillId="0" borderId="5" xfId="0" applyFont="1" applyBorder="1" applyAlignment="1">
      <alignment horizontal="left" vertical="center" wrapText="1"/>
    </xf>
    <xf numFmtId="0" fontId="11" fillId="2" borderId="0" xfId="0" applyFont="1" applyFill="1" applyAlignment="1">
      <alignment horizontal="center" vertical="center"/>
    </xf>
    <xf numFmtId="0" fontId="13" fillId="2" borderId="0" xfId="0" applyFont="1" applyFill="1" applyAlignment="1">
      <alignment horizontal="center" vertical="center"/>
    </xf>
  </cellXfs>
  <cellStyles count="2">
    <cellStyle name="Normal" xfId="0" builtinId="0"/>
    <cellStyle name="Percent" xfId="1" builtinId="5"/>
  </cellStyles>
  <dxfs count="13">
    <dxf>
      <font>
        <color rgb="FFFF0000"/>
      </font>
    </dxf>
    <dxf>
      <font>
        <color theme="9"/>
      </font>
    </dxf>
    <dxf>
      <font>
        <color theme="2" tint="-0.499984740745262"/>
      </font>
    </dxf>
    <dxf>
      <font>
        <color theme="9"/>
      </font>
    </dxf>
    <dxf>
      <font>
        <color rgb="FFFF0000"/>
      </font>
    </dxf>
    <dxf>
      <font>
        <color rgb="FFFF0000"/>
      </font>
    </dxf>
    <dxf>
      <font>
        <color theme="9"/>
      </font>
    </dxf>
    <dxf>
      <font>
        <color theme="9"/>
      </font>
    </dxf>
    <dxf>
      <font>
        <color rgb="FFFF0000"/>
      </font>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[Banque_de_Tunisie_Analysis_Karim.xlsx]Pivot_Table!PivotTable1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Performance Financière BT — 2023 vs 2024</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Pivot_Table!$B$3:$B$4</c:f>
              <c:strCache>
                <c:ptCount val="1"/>
                <c:pt idx="0">
                  <c:v>2023</c:v>
                </c:pt>
              </c:strCache>
            </c:strRef>
          </c:tx>
          <c:spPr>
            <a:solidFill>
              <a:schemeClr val="accent5">
                <a:lumMod val="60000"/>
                <a:lumOff val="40000"/>
              </a:schemeClr>
            </a:solidFill>
            <a:ln>
              <a:noFill/>
            </a:ln>
            <a:effectLst/>
          </c:spPr>
          <c:invertIfNegative val="0"/>
          <c:cat>
            <c:strRef>
              <c:f>Pivot_Table!$A$5:$A$13</c:f>
              <c:strCache>
                <c:ptCount val="8"/>
                <c:pt idx="0">
                  <c:v>Capitaux Propres</c:v>
                </c:pt>
                <c:pt idx="1">
                  <c:v>Créances Clientèle</c:v>
                </c:pt>
                <c:pt idx="2">
                  <c:v>Dépôts Clientèle</c:v>
                </c:pt>
                <c:pt idx="3">
                  <c:v>PNB</c:v>
                </c:pt>
                <c:pt idx="4">
                  <c:v>Résultat Exploitation</c:v>
                </c:pt>
                <c:pt idx="5">
                  <c:v>Résultat Net</c:v>
                </c:pt>
                <c:pt idx="6">
                  <c:v>Total Actifs</c:v>
                </c:pt>
                <c:pt idx="7">
                  <c:v>Total Produits</c:v>
                </c:pt>
              </c:strCache>
            </c:strRef>
          </c:cat>
          <c:val>
            <c:numRef>
              <c:f>Pivot_Table!$B$5:$B$13</c:f>
              <c:numCache>
                <c:formatCode>#,##0</c:formatCode>
                <c:ptCount val="8"/>
                <c:pt idx="0">
                  <c:v>1301310</c:v>
                </c:pt>
                <c:pt idx="1">
                  <c:v>5827707</c:v>
                </c:pt>
                <c:pt idx="2">
                  <c:v>5803572</c:v>
                </c:pt>
                <c:pt idx="3">
                  <c:v>477950</c:v>
                </c:pt>
                <c:pt idx="4">
                  <c:v>256369</c:v>
                </c:pt>
                <c:pt idx="5">
                  <c:v>170327</c:v>
                </c:pt>
                <c:pt idx="6">
                  <c:v>7718521</c:v>
                </c:pt>
                <c:pt idx="7">
                  <c:v>814798</c:v>
                </c:pt>
              </c:numCache>
            </c:numRef>
          </c:val>
          <c:extLst>
            <c:ext xmlns:c16="http://schemas.microsoft.com/office/drawing/2014/chart" uri="{C3380CC4-5D6E-409C-BE32-E72D297353CC}">
              <c16:uniqueId val="{00000000-7853-49DF-A6C1-B4289A927142}"/>
            </c:ext>
          </c:extLst>
        </c:ser>
        <c:ser>
          <c:idx val="1"/>
          <c:order val="1"/>
          <c:tx>
            <c:strRef>
              <c:f>Pivot_Table!$C$3:$C$4</c:f>
              <c:strCache>
                <c:ptCount val="1"/>
                <c:pt idx="0">
                  <c:v>2024</c:v>
                </c:pt>
              </c:strCache>
            </c:strRef>
          </c:tx>
          <c:spPr>
            <a:solidFill>
              <a:srgbClr val="002060"/>
            </a:solidFill>
            <a:ln>
              <a:noFill/>
            </a:ln>
            <a:effectLst/>
          </c:spPr>
          <c:invertIfNegative val="0"/>
          <c:cat>
            <c:strRef>
              <c:f>Pivot_Table!$A$5:$A$13</c:f>
              <c:strCache>
                <c:ptCount val="8"/>
                <c:pt idx="0">
                  <c:v>Capitaux Propres</c:v>
                </c:pt>
                <c:pt idx="1">
                  <c:v>Créances Clientèle</c:v>
                </c:pt>
                <c:pt idx="2">
                  <c:v>Dépôts Clientèle</c:v>
                </c:pt>
                <c:pt idx="3">
                  <c:v>PNB</c:v>
                </c:pt>
                <c:pt idx="4">
                  <c:v>Résultat Exploitation</c:v>
                </c:pt>
                <c:pt idx="5">
                  <c:v>Résultat Net</c:v>
                </c:pt>
                <c:pt idx="6">
                  <c:v>Total Actifs</c:v>
                </c:pt>
                <c:pt idx="7">
                  <c:v>Total Produits</c:v>
                </c:pt>
              </c:strCache>
            </c:strRef>
          </c:cat>
          <c:val>
            <c:numRef>
              <c:f>Pivot_Table!$C$5:$C$13</c:f>
              <c:numCache>
                <c:formatCode>#,##0</c:formatCode>
                <c:ptCount val="8"/>
                <c:pt idx="0">
                  <c:v>1411425</c:v>
                </c:pt>
                <c:pt idx="1">
                  <c:v>6067260</c:v>
                </c:pt>
                <c:pt idx="2">
                  <c:v>6695428</c:v>
                </c:pt>
                <c:pt idx="3">
                  <c:v>509985</c:v>
                </c:pt>
                <c:pt idx="4">
                  <c:v>306884</c:v>
                </c:pt>
                <c:pt idx="5">
                  <c:v>188415</c:v>
                </c:pt>
                <c:pt idx="6">
                  <c:v>8638841</c:v>
                </c:pt>
                <c:pt idx="7">
                  <c:v>882987</c:v>
                </c:pt>
              </c:numCache>
            </c:numRef>
          </c:val>
          <c:extLst>
            <c:ext xmlns:c16="http://schemas.microsoft.com/office/drawing/2014/chart" uri="{C3380CC4-5D6E-409C-BE32-E72D297353CC}">
              <c16:uniqueId val="{00000001-7A09-48E1-BCD9-14DFE13B3A37}"/>
            </c:ext>
          </c:extLst>
        </c:ser>
        <c:dLbls>
          <c:showLegendKey val="0"/>
          <c:showVal val="0"/>
          <c:showCatName val="0"/>
          <c:showSerName val="0"/>
          <c:showPercent val="0"/>
          <c:showBubbleSize val="0"/>
        </c:dLbls>
        <c:gapWidth val="182"/>
        <c:axId val="596069103"/>
        <c:axId val="596070063"/>
      </c:barChart>
      <c:catAx>
        <c:axId val="59606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6070063"/>
        <c:crosses val="autoZero"/>
        <c:auto val="1"/>
        <c:lblAlgn val="ctr"/>
        <c:lblOffset val="100"/>
        <c:noMultiLvlLbl val="0"/>
      </c:catAx>
      <c:valAx>
        <c:axId val="5960700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606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Comparaison des Ratios Clés 2023 vs 2024</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Pivot_Source!$B$33</c:f>
              <c:strCache>
                <c:ptCount val="1"/>
                <c:pt idx="0">
                  <c:v>2024</c:v>
                </c:pt>
              </c:strCache>
            </c:strRef>
          </c:tx>
          <c:spPr>
            <a:solidFill>
              <a:srgbClr val="002060"/>
            </a:solidFill>
            <a:ln>
              <a:noFill/>
            </a:ln>
            <a:effectLst/>
          </c:spPr>
          <c:invertIfNegative val="0"/>
          <c:cat>
            <c:strRef>
              <c:f>Pivot_Source!$A$34:$A$39</c:f>
              <c:strCache>
                <c:ptCount val="6"/>
                <c:pt idx="0">
                  <c:v>Marge Nette %</c:v>
                </c:pt>
                <c:pt idx="1">
                  <c:v>ROA %</c:v>
                </c:pt>
                <c:pt idx="2">
                  <c:v>ROE %</c:v>
                </c:pt>
                <c:pt idx="3">
                  <c:v>Coefficient d'exploitation</c:v>
                </c:pt>
                <c:pt idx="4">
                  <c:v>NIM %</c:v>
                </c:pt>
                <c:pt idx="5">
                  <c:v>Solvabilité %</c:v>
                </c:pt>
              </c:strCache>
            </c:strRef>
          </c:cat>
          <c:val>
            <c:numRef>
              <c:f>Pivot_Source!$B$34:$B$39</c:f>
              <c:numCache>
                <c:formatCode>0.0%</c:formatCode>
                <c:ptCount val="6"/>
                <c:pt idx="0">
                  <c:v>0.21338366250012741</c:v>
                </c:pt>
                <c:pt idx="1">
                  <c:v>2.181021736596379E-2</c:v>
                </c:pt>
                <c:pt idx="2">
                  <c:v>0.13349274669217281</c:v>
                </c:pt>
                <c:pt idx="3">
                  <c:v>0.32311734658862518</c:v>
                </c:pt>
                <c:pt idx="4">
                  <c:v>3.5428363596459296E-2</c:v>
                </c:pt>
                <c:pt idx="5">
                  <c:v>0.16338129154130746</c:v>
                </c:pt>
              </c:numCache>
            </c:numRef>
          </c:val>
          <c:extLst>
            <c:ext xmlns:c16="http://schemas.microsoft.com/office/drawing/2014/chart" uri="{C3380CC4-5D6E-409C-BE32-E72D297353CC}">
              <c16:uniqueId val="{00000000-12F9-4CEA-B25C-B2A59E1CD3F3}"/>
            </c:ext>
          </c:extLst>
        </c:ser>
        <c:ser>
          <c:idx val="1"/>
          <c:order val="1"/>
          <c:tx>
            <c:strRef>
              <c:f>Pivot_Source!$C$33</c:f>
              <c:strCache>
                <c:ptCount val="1"/>
                <c:pt idx="0">
                  <c:v>2023</c:v>
                </c:pt>
              </c:strCache>
            </c:strRef>
          </c:tx>
          <c:spPr>
            <a:solidFill>
              <a:schemeClr val="accent5">
                <a:lumMod val="40000"/>
                <a:lumOff val="60000"/>
              </a:schemeClr>
            </a:solidFill>
            <a:ln>
              <a:noFill/>
            </a:ln>
            <a:effectLst/>
          </c:spPr>
          <c:invertIfNegative val="0"/>
          <c:cat>
            <c:strRef>
              <c:f>Pivot_Source!$A$34:$A$39</c:f>
              <c:strCache>
                <c:ptCount val="6"/>
                <c:pt idx="0">
                  <c:v>Marge Nette %</c:v>
                </c:pt>
                <c:pt idx="1">
                  <c:v>ROA %</c:v>
                </c:pt>
                <c:pt idx="2">
                  <c:v>ROE %</c:v>
                </c:pt>
                <c:pt idx="3">
                  <c:v>Coefficient d'exploitation</c:v>
                </c:pt>
                <c:pt idx="4">
                  <c:v>NIM %</c:v>
                </c:pt>
                <c:pt idx="5">
                  <c:v>Solvabilité %</c:v>
                </c:pt>
              </c:strCache>
            </c:strRef>
          </c:cat>
          <c:val>
            <c:numRef>
              <c:f>Pivot_Source!$C$34:$C$39</c:f>
              <c:numCache>
                <c:formatCode>0.0%</c:formatCode>
                <c:ptCount val="6"/>
                <c:pt idx="0">
                  <c:v>0.20904199568482004</c:v>
                </c:pt>
                <c:pt idx="1">
                  <c:v>2.2067310563772514E-2</c:v>
                </c:pt>
                <c:pt idx="2">
                  <c:v>0.13088887351976086</c:v>
                </c:pt>
                <c:pt idx="3">
                  <c:v>0.32060048122188511</c:v>
                </c:pt>
                <c:pt idx="4">
                  <c:v>3.5622627702898001E-2</c:v>
                </c:pt>
                <c:pt idx="5">
                  <c:v>0.1685957711328375</c:v>
                </c:pt>
              </c:numCache>
            </c:numRef>
          </c:val>
          <c:extLst>
            <c:ext xmlns:c16="http://schemas.microsoft.com/office/drawing/2014/chart" uri="{C3380CC4-5D6E-409C-BE32-E72D297353CC}">
              <c16:uniqueId val="{00000001-12F9-4CEA-B25C-B2A59E1CD3F3}"/>
            </c:ext>
          </c:extLst>
        </c:ser>
        <c:dLbls>
          <c:showLegendKey val="0"/>
          <c:showVal val="0"/>
          <c:showCatName val="0"/>
          <c:showSerName val="0"/>
          <c:showPercent val="0"/>
          <c:showBubbleSize val="0"/>
        </c:dLbls>
        <c:gapWidth val="219"/>
        <c:overlap val="-27"/>
        <c:axId val="595245087"/>
        <c:axId val="595246527"/>
      </c:barChart>
      <c:catAx>
        <c:axId val="59524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5246527"/>
        <c:crosses val="autoZero"/>
        <c:auto val="1"/>
        <c:lblAlgn val="ctr"/>
        <c:lblOffset val="100"/>
        <c:noMultiLvlLbl val="0"/>
      </c:catAx>
      <c:valAx>
        <c:axId val="5952465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5245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rich>
          <a:bodyPr spcFirstLastPara="1" vertOverflow="ellipsis" horzOverflow="overflow" wrap="square" lIns="0" tIns="0" rIns="0" bIns="0" anchor="ctr" anchorCtr="1"/>
          <a:lstStyle/>
          <a:p>
            <a:pPr algn="ctr" rtl="0">
              <a:defRPr/>
            </a:pPr>
            <a:r>
              <a:rPr lang="fr-FR"/>
              <a:t>De Total Produits au Résultat Net 2024</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3AF11E1F-75A9-40B9-8A8C-6B4321B28325}">
          <cx:tx>
            <cx:txData>
              <cx:f>_xlchart.v5.1</cx:f>
              <cx:v>valeur</cx:v>
            </cx:txData>
          </cx:tx>
          <cx:dataLabels pos="outEnd">
            <cx:visibility seriesName="0" categoryName="0" value="1"/>
          </cx:dataLabels>
          <cx:dataId val="0"/>
          <cx:layoutPr>
            <cx:subtotals>
              <cx:idx val="0"/>
              <cx:idx val="2"/>
              <cx:idx val="8"/>
              <cx:idx val="11"/>
            </cx:subtotals>
          </cx:layoutPr>
        </cx:series>
      </cx:plotAreaRegion>
      <cx:axis id="0">
        <cx:catScaling gapWidth="0.5"/>
        <cx:tickLabels/>
        <cx:txPr>
          <a:bodyPr spcFirstLastPara="1" vertOverflow="ellipsis" horzOverflow="overflow" wrap="square" lIns="0" tIns="0" rIns="0" bIns="0" anchor="ctr" anchorCtr="1"/>
          <a:lstStyle/>
          <a:p>
            <a:pPr algn="ctr" rtl="0">
              <a:defRPr sz="700" b="1"/>
            </a:pPr>
            <a:endParaRPr lang="en-US" sz="7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rgbClr val="002060"/>
        </a:solidFill>
      </cx:spPr>
    </cx:fmtOvr>
    <cx:fmtOvr idx="1">
      <cx:spPr>
        <a:solidFill>
          <a:srgbClr val="FF0000"/>
        </a:solidFill>
      </cx:spPr>
    </cx:fmtOvr>
    <cx:fmtOvr idx="2">
      <cx:spPr>
        <a:solidFill>
          <a:schemeClr val="accent6"/>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1203</xdr:rowOff>
    </xdr:from>
    <xdr:to>
      <xdr:col>23</xdr:col>
      <xdr:colOff>10886</xdr:colOff>
      <xdr:row>17</xdr:row>
      <xdr:rowOff>179070</xdr:rowOff>
    </xdr:to>
    <xdr:graphicFrame macro="">
      <xdr:nvGraphicFramePr>
        <xdr:cNvPr id="2" name="Chart 2">
          <a:extLst>
            <a:ext uri="{FF2B5EF4-FFF2-40B4-BE49-F238E27FC236}">
              <a16:creationId xmlns:a16="http://schemas.microsoft.com/office/drawing/2014/main" id="{31BC857B-95E1-7AA1-0CED-5179BA539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608511</xdr:colOff>
      <xdr:row>1</xdr:row>
      <xdr:rowOff>2572</xdr:rowOff>
    </xdr:from>
    <xdr:to>
      <xdr:col>26</xdr:col>
      <xdr:colOff>48</xdr:colOff>
      <xdr:row>12</xdr:row>
      <xdr:rowOff>98997</xdr:rowOff>
    </xdr:to>
    <mc:AlternateContent xmlns:mc="http://schemas.openxmlformats.org/markup-compatibility/2006" xmlns:a14="http://schemas.microsoft.com/office/drawing/2010/main">
      <mc:Choice Requires="a14">
        <xdr:graphicFrame macro="">
          <xdr:nvGraphicFramePr>
            <xdr:cNvPr id="3" name="Indicateur">
              <a:extLst>
                <a:ext uri="{FF2B5EF4-FFF2-40B4-BE49-F238E27FC236}">
                  <a16:creationId xmlns:a16="http://schemas.microsoft.com/office/drawing/2014/main" id="{29A57507-5067-45BA-BD30-8F35555ED399}"/>
                </a:ext>
              </a:extLst>
            </xdr:cNvPr>
            <xdr:cNvGraphicFramePr/>
          </xdr:nvGraphicFramePr>
          <xdr:xfrm>
            <a:off x="0" y="0"/>
            <a:ext cx="0" cy="0"/>
          </xdr:xfrm>
          <a:graphic>
            <a:graphicData uri="http://schemas.microsoft.com/office/drawing/2010/slicer">
              <sle:slicer xmlns:sle="http://schemas.microsoft.com/office/drawing/2010/slicer" name="Indicateur"/>
            </a:graphicData>
          </a:graphic>
        </xdr:graphicFrame>
      </mc:Choice>
      <mc:Fallback xmlns="">
        <xdr:sp macro="" textlink="">
          <xdr:nvSpPr>
            <xdr:cNvPr id="0" name=""/>
            <xdr:cNvSpPr>
              <a:spLocks noTextEdit="1"/>
            </xdr:cNvSpPr>
          </xdr:nvSpPr>
          <xdr:spPr>
            <a:xfrm>
              <a:off x="14019711" y="448886"/>
              <a:ext cx="1829937" cy="213205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606059</xdr:colOff>
      <xdr:row>12</xdr:row>
      <xdr:rowOff>94847</xdr:rowOff>
    </xdr:from>
    <xdr:to>
      <xdr:col>25</xdr:col>
      <xdr:colOff>606059</xdr:colOff>
      <xdr:row>18</xdr:row>
      <xdr:rowOff>5129</xdr:rowOff>
    </xdr:to>
    <mc:AlternateContent xmlns:mc="http://schemas.openxmlformats.org/markup-compatibility/2006" xmlns:a14="http://schemas.microsoft.com/office/drawing/2010/main">
      <mc:Choice Requires="a14">
        <xdr:graphicFrame macro="">
          <xdr:nvGraphicFramePr>
            <xdr:cNvPr id="4" name="Année">
              <a:extLst>
                <a:ext uri="{FF2B5EF4-FFF2-40B4-BE49-F238E27FC236}">
                  <a16:creationId xmlns:a16="http://schemas.microsoft.com/office/drawing/2014/main" id="{857D6585-9320-4FF5-93F6-1B77DE6F2064}"/>
                </a:ext>
              </a:extLst>
            </xdr:cNvPr>
            <xdr:cNvGraphicFramePr/>
          </xdr:nvGraphicFramePr>
          <xdr:xfrm>
            <a:off x="0" y="0"/>
            <a:ext cx="0" cy="0"/>
          </xdr:xfrm>
          <a:graphic>
            <a:graphicData uri="http://schemas.microsoft.com/office/drawing/2010/slicer">
              <sle:slicer xmlns:sle="http://schemas.microsoft.com/office/drawing/2010/slicer" name="Année"/>
            </a:graphicData>
          </a:graphic>
        </xdr:graphicFrame>
      </mc:Choice>
      <mc:Fallback xmlns="">
        <xdr:sp macro="" textlink="">
          <xdr:nvSpPr>
            <xdr:cNvPr id="0" name=""/>
            <xdr:cNvSpPr>
              <a:spLocks noTextEdit="1"/>
            </xdr:cNvSpPr>
          </xdr:nvSpPr>
          <xdr:spPr>
            <a:xfrm>
              <a:off x="14017259" y="2576790"/>
              <a:ext cx="1828800" cy="10206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10886</xdr:rowOff>
    </xdr:from>
    <xdr:to>
      <xdr:col>16</xdr:col>
      <xdr:colOff>10886</xdr:colOff>
      <xdr:row>37</xdr:row>
      <xdr:rowOff>21772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5E62319-363F-43BA-A051-2B990E1AC3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3889466"/>
              <a:ext cx="9764486" cy="3302726"/>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21771</xdr:colOff>
      <xdr:row>19</xdr:row>
      <xdr:rowOff>18683</xdr:rowOff>
    </xdr:from>
    <xdr:to>
      <xdr:col>25</xdr:col>
      <xdr:colOff>609599</xdr:colOff>
      <xdr:row>36</xdr:row>
      <xdr:rowOff>174172</xdr:rowOff>
    </xdr:to>
    <xdr:graphicFrame macro="">
      <xdr:nvGraphicFramePr>
        <xdr:cNvPr id="6" name="Chart 5">
          <a:extLst>
            <a:ext uri="{FF2B5EF4-FFF2-40B4-BE49-F238E27FC236}">
              <a16:creationId xmlns:a16="http://schemas.microsoft.com/office/drawing/2014/main" id="{857BBDF7-967C-45DB-9C0B-2BB1D7D33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m" refreshedDate="46121.184445254628" createdVersion="8" refreshedVersion="8" minRefreshableVersion="3" recordCount="16" xr:uid="{6BBC37C4-162D-47AB-A0AF-FB3CA8CF300D}">
  <cacheSource type="worksheet">
    <worksheetSource name="DataBT"/>
  </cacheSource>
  <cacheFields count="3">
    <cacheField name="Année" numFmtId="0">
      <sharedItems containsSemiMixedTypes="0" containsString="0" containsNumber="1" containsInteger="1" minValue="2023" maxValue="2024" count="2">
        <n v="2024"/>
        <n v="2023"/>
      </sharedItems>
    </cacheField>
    <cacheField name="Indicateur" numFmtId="0">
      <sharedItems count="8">
        <s v="Total Produits"/>
        <s v="PNB"/>
        <s v="Résultat Exploitation"/>
        <s v="Résultat Net"/>
        <s v="Total Actifs"/>
        <s v="Dépôts Clientèle"/>
        <s v="Créances Clientèle"/>
        <s v="Capitaux Propres"/>
      </sharedItems>
    </cacheField>
    <cacheField name="Valeur" numFmtId="3">
      <sharedItems containsSemiMixedTypes="0" containsString="0" containsNumber="1" containsInteger="1" minValue="170327" maxValue="8638841"/>
    </cacheField>
  </cacheFields>
  <extLst>
    <ext xmlns:x14="http://schemas.microsoft.com/office/spreadsheetml/2009/9/main" uri="{725AE2AE-9491-48be-B2B4-4EB974FC3084}">
      <x14:pivotCacheDefinition pivotCacheId="1525527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882987"/>
  </r>
  <r>
    <x v="1"/>
    <x v="0"/>
    <n v="814798"/>
  </r>
  <r>
    <x v="0"/>
    <x v="1"/>
    <n v="509985"/>
  </r>
  <r>
    <x v="1"/>
    <x v="1"/>
    <n v="477950"/>
  </r>
  <r>
    <x v="0"/>
    <x v="2"/>
    <n v="306884"/>
  </r>
  <r>
    <x v="1"/>
    <x v="2"/>
    <n v="256369"/>
  </r>
  <r>
    <x v="0"/>
    <x v="3"/>
    <n v="188415"/>
  </r>
  <r>
    <x v="1"/>
    <x v="3"/>
    <n v="170327"/>
  </r>
  <r>
    <x v="0"/>
    <x v="4"/>
    <n v="8638841"/>
  </r>
  <r>
    <x v="1"/>
    <x v="4"/>
    <n v="7718521"/>
  </r>
  <r>
    <x v="0"/>
    <x v="5"/>
    <n v="6695428"/>
  </r>
  <r>
    <x v="1"/>
    <x v="5"/>
    <n v="5803572"/>
  </r>
  <r>
    <x v="0"/>
    <x v="6"/>
    <n v="6067260"/>
  </r>
  <r>
    <x v="1"/>
    <x v="6"/>
    <n v="5827707"/>
  </r>
  <r>
    <x v="0"/>
    <x v="7"/>
    <n v="1411425"/>
  </r>
  <r>
    <x v="1"/>
    <x v="7"/>
    <n v="13013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4661E7-4F64-4C6E-857F-AA71CAFF4D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3" firstHeaderRow="1" firstDataRow="2" firstDataCol="1"/>
  <pivotFields count="3">
    <pivotField axis="axisCol" showAll="0">
      <items count="3">
        <item x="1"/>
        <item x="0"/>
        <item t="default"/>
      </items>
    </pivotField>
    <pivotField axis="axisRow" showAll="0">
      <items count="9">
        <item x="7"/>
        <item x="6"/>
        <item x="5"/>
        <item x="1"/>
        <item x="2"/>
        <item x="3"/>
        <item x="4"/>
        <item x="0"/>
        <item t="default"/>
      </items>
    </pivotField>
    <pivotField dataField="1" numFmtId="3" showAll="0"/>
  </pivotFields>
  <rowFields count="1">
    <field x="1"/>
  </rowFields>
  <rowItems count="9">
    <i>
      <x/>
    </i>
    <i>
      <x v="1"/>
    </i>
    <i>
      <x v="2"/>
    </i>
    <i>
      <x v="3"/>
    </i>
    <i>
      <x v="4"/>
    </i>
    <i>
      <x v="5"/>
    </i>
    <i>
      <x v="6"/>
    </i>
    <i>
      <x v="7"/>
    </i>
    <i t="grand">
      <x/>
    </i>
  </rowItems>
  <colFields count="1">
    <field x="0"/>
  </colFields>
  <colItems count="3">
    <i>
      <x/>
    </i>
    <i>
      <x v="1"/>
    </i>
    <i t="grand">
      <x/>
    </i>
  </colItems>
  <dataFields count="1">
    <dataField name="Sum of Valeur" fld="2" baseField="0" baseItem="0" numFmtId="3"/>
  </dataFields>
  <chartFormats count="2">
    <chartFormat chart="2" format="2" series="1">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eur" xr10:uid="{CB6D1D2F-D902-47FC-8371-B0016EE2148C}" sourceName="Indicateur">
  <pivotTables>
    <pivotTable tabId="7" name="PivotTable1"/>
  </pivotTables>
  <data>
    <tabular pivotCacheId="1525527553">
      <items count="8">
        <i x="7" s="1"/>
        <i x="6" s="1"/>
        <i x="5" s="1"/>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née" xr10:uid="{A255BA49-40C0-40CA-B7F4-7313E2F5B383}" sourceName="Année">
  <pivotTables>
    <pivotTable tabId="7" name="PivotTable1"/>
  </pivotTables>
  <data>
    <tabular pivotCacheId="15255275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eur" xr10:uid="{B5213557-5661-4668-82DD-776591DF1790}" cache="Slicer_Indicateur" caption="Indicateur" startItem="1" style="SlicerStyleOther2" rowHeight="234950"/>
  <slicer name="Année" xr10:uid="{4EA422B8-9B76-4B1C-9C6B-00E0B838DD0B}" cache="Slicer_Année" caption="Anné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C1CBF0-74AC-4D5A-A5B6-8B21156986A9}" name="DataBT" displayName="DataBT" ref="A1:C17" totalsRowShown="0">
  <autoFilter ref="A1:C17" xr:uid="{A9C1CBF0-74AC-4D5A-A5B6-8B21156986A9}"/>
  <tableColumns count="3">
    <tableColumn id="1" xr3:uid="{4F3476DA-B614-46F8-AC9F-844117CDF6F8}" name="Année"/>
    <tableColumn id="2" xr3:uid="{2AEF9AA4-DF1A-4F6F-B77B-BF0A6F6CA633}" name="Indicateur"/>
    <tableColumn id="3" xr3:uid="{C6D8B363-2FC2-41D1-AAA1-61336F93AA61}" name="Valeur"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42D3E-204A-4323-ADE4-08900A1211BA}" name="Table3" displayName="Table3" ref="A19:B31" totalsRowShown="0">
  <autoFilter ref="A19:B31" xr:uid="{14E42D3E-204A-4323-ADE4-08900A1211BA}"/>
  <tableColumns count="2">
    <tableColumn id="1" xr3:uid="{945AA854-D57D-4355-AF8E-8C33BCBCBD6B}" name="Etape"/>
    <tableColumn id="2" xr3:uid="{537700D4-5537-4CF7-AF14-2BC5FAA6F47A}" name="valeur"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E18A18-4E56-454C-A5E3-AB5607F1338C}" name="Table4" displayName="Table4" ref="A33:C39" totalsRowShown="0">
  <autoFilter ref="A33:C39" xr:uid="{93E18A18-4E56-454C-A5E3-AB5607F1338C}"/>
  <tableColumns count="3">
    <tableColumn id="1" xr3:uid="{C489CB40-BBB7-43E1-89EC-49AC51AD8A20}" name="ratio"/>
    <tableColumn id="2" xr3:uid="{567810E8-9657-4E6A-BEE4-6B3233353373}" name="2024" dataDxfId="10" dataCellStyle="Percent"/>
    <tableColumn id="3" xr3:uid="{60CE62FB-9C18-42D3-A4EF-737917CE8749}" name="2023" dataDxfId="9"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304D-1B7B-4B32-BAFA-3F3D27434F8B}">
  <dimension ref="A1:C44"/>
  <sheetViews>
    <sheetView workbookViewId="0">
      <selection activeCell="A11" sqref="A11"/>
    </sheetView>
  </sheetViews>
  <sheetFormatPr defaultRowHeight="14.4" x14ac:dyDescent="0.3"/>
  <sheetData>
    <row r="1" spans="1:3" x14ac:dyDescent="0.3">
      <c r="A1" t="s">
        <v>0</v>
      </c>
      <c r="B1" t="s">
        <v>1</v>
      </c>
      <c r="C1" t="s">
        <v>2</v>
      </c>
    </row>
    <row r="2" spans="1:3" x14ac:dyDescent="0.3">
      <c r="A2" t="s">
        <v>23</v>
      </c>
    </row>
    <row r="3" spans="1:3" x14ac:dyDescent="0.3">
      <c r="A3" t="s">
        <v>3</v>
      </c>
      <c r="B3">
        <v>665998</v>
      </c>
      <c r="C3">
        <v>602209</v>
      </c>
    </row>
    <row r="4" spans="1:3" x14ac:dyDescent="0.3">
      <c r="A4" t="s">
        <v>4</v>
      </c>
      <c r="B4">
        <v>90516</v>
      </c>
      <c r="C4">
        <v>86197</v>
      </c>
    </row>
    <row r="5" spans="1:3" x14ac:dyDescent="0.3">
      <c r="A5" t="s">
        <v>24</v>
      </c>
      <c r="B5">
        <v>22521</v>
      </c>
      <c r="C5">
        <v>24181</v>
      </c>
    </row>
    <row r="6" spans="1:3" x14ac:dyDescent="0.3">
      <c r="A6" t="s">
        <v>5</v>
      </c>
      <c r="B6">
        <v>103952</v>
      </c>
      <c r="C6">
        <v>102211</v>
      </c>
    </row>
    <row r="7" spans="1:3" x14ac:dyDescent="0.3">
      <c r="A7" t="s">
        <v>25</v>
      </c>
      <c r="B7">
        <v>882987</v>
      </c>
      <c r="C7">
        <v>814798</v>
      </c>
    </row>
    <row r="8" spans="1:3" x14ac:dyDescent="0.3">
      <c r="A8" t="s">
        <v>6</v>
      </c>
      <c r="B8">
        <v>359938</v>
      </c>
      <c r="C8">
        <v>327255</v>
      </c>
    </row>
    <row r="9" spans="1:3" x14ac:dyDescent="0.3">
      <c r="A9" t="s">
        <v>7</v>
      </c>
      <c r="B9">
        <v>13064</v>
      </c>
      <c r="C9">
        <v>9593</v>
      </c>
    </row>
    <row r="10" spans="1:3" x14ac:dyDescent="0.3">
      <c r="A10" t="s">
        <v>26</v>
      </c>
      <c r="B10">
        <v>373002</v>
      </c>
      <c r="C10">
        <v>336848</v>
      </c>
    </row>
    <row r="11" spans="1:3" x14ac:dyDescent="0.3">
      <c r="A11" t="s">
        <v>8</v>
      </c>
      <c r="B11">
        <v>509985</v>
      </c>
      <c r="C11">
        <v>477950</v>
      </c>
    </row>
    <row r="12" spans="1:3" x14ac:dyDescent="0.3">
      <c r="A12" t="s">
        <v>27</v>
      </c>
      <c r="B12">
        <v>33109</v>
      </c>
      <c r="C12">
        <v>58852</v>
      </c>
    </row>
    <row r="13" spans="1:3" x14ac:dyDescent="0.3">
      <c r="A13" t="s">
        <v>28</v>
      </c>
      <c r="B13">
        <v>6733</v>
      </c>
      <c r="C13">
        <v>10974</v>
      </c>
    </row>
    <row r="14" spans="1:3" x14ac:dyDescent="0.3">
      <c r="A14" t="s">
        <v>29</v>
      </c>
      <c r="B14">
        <v>1526</v>
      </c>
      <c r="C14">
        <v>1476</v>
      </c>
    </row>
    <row r="15" spans="1:3" x14ac:dyDescent="0.3">
      <c r="A15" t="s">
        <v>9</v>
      </c>
      <c r="B15">
        <v>110758</v>
      </c>
      <c r="C15">
        <v>102455</v>
      </c>
    </row>
    <row r="16" spans="1:3" x14ac:dyDescent="0.3">
      <c r="A16" t="s">
        <v>30</v>
      </c>
      <c r="B16">
        <v>45219</v>
      </c>
      <c r="C16">
        <v>42816</v>
      </c>
    </row>
    <row r="17" spans="1:3" x14ac:dyDescent="0.3">
      <c r="A17" t="s">
        <v>31</v>
      </c>
      <c r="B17">
        <v>8808</v>
      </c>
      <c r="C17">
        <v>7960</v>
      </c>
    </row>
    <row r="18" spans="1:3" x14ac:dyDescent="0.3">
      <c r="A18" t="s">
        <v>32</v>
      </c>
      <c r="B18">
        <v>306884</v>
      </c>
      <c r="C18">
        <v>256369</v>
      </c>
    </row>
    <row r="19" spans="1:3" x14ac:dyDescent="0.3">
      <c r="A19" t="s">
        <v>33</v>
      </c>
      <c r="B19">
        <v>-38</v>
      </c>
      <c r="C19">
        <v>1833</v>
      </c>
    </row>
    <row r="20" spans="1:3" x14ac:dyDescent="0.3">
      <c r="A20" t="s">
        <v>34</v>
      </c>
      <c r="B20">
        <v>108613</v>
      </c>
      <c r="C20">
        <v>79748</v>
      </c>
    </row>
    <row r="21" spans="1:3" x14ac:dyDescent="0.3">
      <c r="A21" t="s">
        <v>35</v>
      </c>
      <c r="B21">
        <v>198233</v>
      </c>
      <c r="C21">
        <v>178454</v>
      </c>
    </row>
    <row r="22" spans="1:3" x14ac:dyDescent="0.3">
      <c r="A22" t="s">
        <v>36</v>
      </c>
      <c r="B22">
        <v>-9818</v>
      </c>
      <c r="C22">
        <v>-8127</v>
      </c>
    </row>
    <row r="23" spans="1:3" x14ac:dyDescent="0.3">
      <c r="A23" t="s">
        <v>37</v>
      </c>
      <c r="B23">
        <v>188415</v>
      </c>
      <c r="C23">
        <v>170327</v>
      </c>
    </row>
    <row r="25" spans="1:3" x14ac:dyDescent="0.3">
      <c r="A25" t="s">
        <v>22</v>
      </c>
    </row>
    <row r="26" spans="1:3" x14ac:dyDescent="0.3">
      <c r="A26" t="s">
        <v>10</v>
      </c>
      <c r="B26">
        <v>665692</v>
      </c>
      <c r="C26">
        <v>193171</v>
      </c>
    </row>
    <row r="27" spans="1:3" x14ac:dyDescent="0.3">
      <c r="A27" t="s">
        <v>11</v>
      </c>
      <c r="B27">
        <v>536026</v>
      </c>
      <c r="C27">
        <v>452275</v>
      </c>
    </row>
    <row r="28" spans="1:3" x14ac:dyDescent="0.3">
      <c r="A28" t="s">
        <v>38</v>
      </c>
      <c r="B28">
        <v>6067260</v>
      </c>
      <c r="C28">
        <v>5827707</v>
      </c>
    </row>
    <row r="29" spans="1:3" x14ac:dyDescent="0.3">
      <c r="A29" t="s">
        <v>12</v>
      </c>
      <c r="B29">
        <v>1243775</v>
      </c>
      <c r="C29">
        <v>1126683</v>
      </c>
    </row>
    <row r="30" spans="1:3" x14ac:dyDescent="0.3">
      <c r="A30" t="s">
        <v>13</v>
      </c>
      <c r="B30">
        <v>94297</v>
      </c>
      <c r="C30">
        <v>75114</v>
      </c>
    </row>
    <row r="31" spans="1:3" x14ac:dyDescent="0.3">
      <c r="A31" t="s">
        <v>14</v>
      </c>
      <c r="B31">
        <v>31791</v>
      </c>
      <c r="C31">
        <v>43571</v>
      </c>
    </row>
    <row r="32" spans="1:3" x14ac:dyDescent="0.3">
      <c r="A32" t="s">
        <v>15</v>
      </c>
      <c r="B32">
        <v>8638841</v>
      </c>
      <c r="C32">
        <v>7718521</v>
      </c>
    </row>
    <row r="33" spans="1:3" x14ac:dyDescent="0.3">
      <c r="A33" t="s">
        <v>39</v>
      </c>
      <c r="B33">
        <v>0</v>
      </c>
      <c r="C33">
        <v>117130</v>
      </c>
    </row>
    <row r="34" spans="1:3" x14ac:dyDescent="0.3">
      <c r="A34" t="s">
        <v>40</v>
      </c>
      <c r="B34">
        <v>50675</v>
      </c>
      <c r="C34">
        <v>61460</v>
      </c>
    </row>
    <row r="35" spans="1:3" x14ac:dyDescent="0.3">
      <c r="A35" t="s">
        <v>41</v>
      </c>
      <c r="B35">
        <v>6695428</v>
      </c>
      <c r="C35">
        <v>5803572</v>
      </c>
    </row>
    <row r="36" spans="1:3" x14ac:dyDescent="0.3">
      <c r="A36" t="s">
        <v>16</v>
      </c>
      <c r="B36">
        <v>181024</v>
      </c>
      <c r="C36">
        <v>257291</v>
      </c>
    </row>
    <row r="37" spans="1:3" x14ac:dyDescent="0.3">
      <c r="A37" t="s">
        <v>17</v>
      </c>
      <c r="B37">
        <v>300289</v>
      </c>
      <c r="C37">
        <v>177758</v>
      </c>
    </row>
    <row r="38" spans="1:3" x14ac:dyDescent="0.3">
      <c r="A38" t="s">
        <v>18</v>
      </c>
      <c r="B38">
        <v>7227416</v>
      </c>
      <c r="C38">
        <v>6417211</v>
      </c>
    </row>
    <row r="39" spans="1:3" x14ac:dyDescent="0.3">
      <c r="A39" t="s">
        <v>19</v>
      </c>
      <c r="B39">
        <v>270000</v>
      </c>
      <c r="C39">
        <v>270000</v>
      </c>
    </row>
    <row r="40" spans="1:3" x14ac:dyDescent="0.3">
      <c r="A40" t="s">
        <v>20</v>
      </c>
      <c r="B40">
        <v>951782</v>
      </c>
      <c r="C40">
        <v>859783</v>
      </c>
    </row>
    <row r="41" spans="1:3" x14ac:dyDescent="0.3">
      <c r="A41" t="s">
        <v>42</v>
      </c>
      <c r="B41">
        <v>1228</v>
      </c>
      <c r="C41">
        <v>1200</v>
      </c>
    </row>
    <row r="42" spans="1:3" x14ac:dyDescent="0.3">
      <c r="A42" t="s">
        <v>43</v>
      </c>
      <c r="B42">
        <v>188415</v>
      </c>
      <c r="C42">
        <v>170327</v>
      </c>
    </row>
    <row r="43" spans="1:3" x14ac:dyDescent="0.3">
      <c r="A43" t="s">
        <v>21</v>
      </c>
      <c r="B43">
        <v>1411425</v>
      </c>
      <c r="C43">
        <v>1301310</v>
      </c>
    </row>
    <row r="44" spans="1:3" x14ac:dyDescent="0.3">
      <c r="A44" t="s">
        <v>44</v>
      </c>
      <c r="B44">
        <v>8638841</v>
      </c>
      <c r="C44">
        <v>7718521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EA035-32F7-4FB1-85D5-5956746DC5EE}">
  <dimension ref="A1:D49"/>
  <sheetViews>
    <sheetView zoomScale="81" zoomScaleNormal="98" workbookViewId="0">
      <selection activeCell="D14" sqref="D14"/>
    </sheetView>
  </sheetViews>
  <sheetFormatPr defaultRowHeight="14.4" x14ac:dyDescent="0.3"/>
  <cols>
    <col min="1" max="1" width="35.77734375" customWidth="1"/>
    <col min="2" max="3" width="18.77734375" customWidth="1"/>
    <col min="4" max="4" width="13.88671875" customWidth="1"/>
  </cols>
  <sheetData>
    <row r="1" spans="1:4" ht="18" x14ac:dyDescent="0.35">
      <c r="A1" s="74" t="s">
        <v>45</v>
      </c>
      <c r="B1" s="74"/>
      <c r="C1" s="74"/>
      <c r="D1" s="74"/>
    </row>
    <row r="2" spans="1:4" x14ac:dyDescent="0.3">
      <c r="A2" s="69" t="s">
        <v>46</v>
      </c>
      <c r="B2" s="69"/>
      <c r="C2" s="69"/>
      <c r="D2" s="69"/>
    </row>
    <row r="3" spans="1:4" x14ac:dyDescent="0.3">
      <c r="A3" s="75"/>
      <c r="B3" s="75"/>
      <c r="C3" s="75"/>
      <c r="D3" s="75"/>
    </row>
    <row r="4" spans="1:4" x14ac:dyDescent="0.3">
      <c r="A4" s="2" t="s">
        <v>23</v>
      </c>
      <c r="B4" s="3" t="s">
        <v>1</v>
      </c>
      <c r="C4" s="3" t="s">
        <v>2</v>
      </c>
      <c r="D4" s="3" t="s">
        <v>47</v>
      </c>
    </row>
    <row r="5" spans="1:4" x14ac:dyDescent="0.3">
      <c r="A5" t="s">
        <v>3</v>
      </c>
      <c r="B5" s="4">
        <v>665998</v>
      </c>
      <c r="C5" s="4">
        <v>602209</v>
      </c>
      <c r="D5" s="5">
        <f>(B5-C5)/C5</f>
        <v>0.10592501938695702</v>
      </c>
    </row>
    <row r="6" spans="1:4" x14ac:dyDescent="0.3">
      <c r="A6" t="s">
        <v>4</v>
      </c>
      <c r="B6" s="4">
        <v>90516</v>
      </c>
      <c r="C6" s="4">
        <v>86197</v>
      </c>
      <c r="D6" s="5">
        <f t="shared" ref="D6:D25" si="0">(B6-C6)/C6</f>
        <v>5.0106152186270986E-2</v>
      </c>
    </row>
    <row r="7" spans="1:4" s="1" customFormat="1" x14ac:dyDescent="0.3">
      <c r="A7" t="s">
        <v>24</v>
      </c>
      <c r="B7" s="4">
        <v>22521</v>
      </c>
      <c r="C7" s="4">
        <v>24181</v>
      </c>
      <c r="D7" s="5">
        <f t="shared" si="0"/>
        <v>-6.8648939249824237E-2</v>
      </c>
    </row>
    <row r="8" spans="1:4" x14ac:dyDescent="0.3">
      <c r="A8" t="s">
        <v>5</v>
      </c>
      <c r="B8" s="4">
        <v>103952</v>
      </c>
      <c r="C8" s="4">
        <v>102211</v>
      </c>
      <c r="D8" s="5">
        <f t="shared" si="0"/>
        <v>1.7033391709307219E-2</v>
      </c>
    </row>
    <row r="9" spans="1:4" x14ac:dyDescent="0.3">
      <c r="A9" s="6" t="s">
        <v>25</v>
      </c>
      <c r="B9" s="7">
        <f>SUM(B5:B8)</f>
        <v>882987</v>
      </c>
      <c r="C9" s="7">
        <f>SUM(C5:C8)</f>
        <v>814798</v>
      </c>
      <c r="D9" s="8">
        <f t="shared" si="0"/>
        <v>8.3688227020684888E-2</v>
      </c>
    </row>
    <row r="10" spans="1:4" x14ac:dyDescent="0.3">
      <c r="A10" t="s">
        <v>6</v>
      </c>
      <c r="B10" s="4">
        <v>359938</v>
      </c>
      <c r="C10" s="4">
        <v>327255</v>
      </c>
      <c r="D10" s="5">
        <f t="shared" si="0"/>
        <v>9.987013185436433E-2</v>
      </c>
    </row>
    <row r="11" spans="1:4" x14ac:dyDescent="0.3">
      <c r="A11" t="s">
        <v>7</v>
      </c>
      <c r="B11" s="4">
        <v>13064</v>
      </c>
      <c r="C11" s="4">
        <v>9593</v>
      </c>
      <c r="D11" s="5">
        <f t="shared" si="0"/>
        <v>0.36182633170019807</v>
      </c>
    </row>
    <row r="12" spans="1:4" x14ac:dyDescent="0.3">
      <c r="A12" s="6" t="s">
        <v>26</v>
      </c>
      <c r="B12" s="7">
        <f>SUM(B10:B11)</f>
        <v>373002</v>
      </c>
      <c r="C12" s="7">
        <f>SUM(C10:C11)</f>
        <v>336848</v>
      </c>
      <c r="D12" s="8">
        <f t="shared" si="0"/>
        <v>0.10733030921958865</v>
      </c>
    </row>
    <row r="13" spans="1:4" x14ac:dyDescent="0.3">
      <c r="A13" s="6" t="s">
        <v>8</v>
      </c>
      <c r="B13" s="7">
        <f>B9-B12</f>
        <v>509985</v>
      </c>
      <c r="C13" s="7">
        <f>C9-C12</f>
        <v>477950</v>
      </c>
      <c r="D13" s="8">
        <f t="shared" si="0"/>
        <v>6.7025839522962649E-2</v>
      </c>
    </row>
    <row r="14" spans="1:4" x14ac:dyDescent="0.3">
      <c r="A14" t="s">
        <v>27</v>
      </c>
      <c r="B14" s="4">
        <v>33109</v>
      </c>
      <c r="C14" s="4">
        <v>58852</v>
      </c>
      <c r="D14" s="5">
        <f t="shared" si="0"/>
        <v>-0.437419289064093</v>
      </c>
    </row>
    <row r="15" spans="1:4" x14ac:dyDescent="0.3">
      <c r="A15" t="s">
        <v>28</v>
      </c>
      <c r="B15" s="4">
        <v>6733</v>
      </c>
      <c r="C15" s="4">
        <v>10974</v>
      </c>
      <c r="D15" s="5">
        <f t="shared" si="0"/>
        <v>-0.38645890286130857</v>
      </c>
    </row>
    <row r="16" spans="1:4" x14ac:dyDescent="0.3">
      <c r="A16" t="s">
        <v>29</v>
      </c>
      <c r="B16" s="4">
        <v>1526</v>
      </c>
      <c r="C16" s="4">
        <v>1476</v>
      </c>
      <c r="D16" s="5">
        <f t="shared" si="0"/>
        <v>3.3875338753387531E-2</v>
      </c>
    </row>
    <row r="17" spans="1:4" x14ac:dyDescent="0.3">
      <c r="A17" t="s">
        <v>9</v>
      </c>
      <c r="B17" s="4">
        <v>110758</v>
      </c>
      <c r="C17" s="4">
        <v>102455</v>
      </c>
      <c r="D17" s="5">
        <f t="shared" si="0"/>
        <v>8.1040456785906004E-2</v>
      </c>
    </row>
    <row r="18" spans="1:4" x14ac:dyDescent="0.3">
      <c r="A18" t="s">
        <v>30</v>
      </c>
      <c r="B18" s="4">
        <v>45219</v>
      </c>
      <c r="C18" s="4">
        <v>42816</v>
      </c>
      <c r="D18" s="5">
        <f t="shared" si="0"/>
        <v>5.6123878923766815E-2</v>
      </c>
    </row>
    <row r="19" spans="1:4" x14ac:dyDescent="0.3">
      <c r="A19" t="s">
        <v>31</v>
      </c>
      <c r="B19" s="4">
        <v>8808</v>
      </c>
      <c r="C19" s="4">
        <v>7960</v>
      </c>
      <c r="D19" s="5">
        <f t="shared" si="0"/>
        <v>0.10653266331658291</v>
      </c>
    </row>
    <row r="20" spans="1:4" x14ac:dyDescent="0.3">
      <c r="A20" s="6" t="s">
        <v>32</v>
      </c>
      <c r="B20" s="7">
        <f>B13-B14-B15+B16-B17-B18-B19</f>
        <v>306884</v>
      </c>
      <c r="C20" s="7">
        <f>C13-C14-C15+C16-C17-C18-C19</f>
        <v>256369</v>
      </c>
      <c r="D20" s="8">
        <f t="shared" si="0"/>
        <v>0.19704020376878639</v>
      </c>
    </row>
    <row r="21" spans="1:4" x14ac:dyDescent="0.3">
      <c r="A21" t="s">
        <v>33</v>
      </c>
      <c r="B21" s="4">
        <v>-38</v>
      </c>
      <c r="C21" s="4">
        <v>1833</v>
      </c>
      <c r="D21" s="13" t="s">
        <v>104</v>
      </c>
    </row>
    <row r="22" spans="1:4" x14ac:dyDescent="0.3">
      <c r="A22" t="s">
        <v>34</v>
      </c>
      <c r="B22" s="4">
        <v>108613</v>
      </c>
      <c r="C22" s="4">
        <v>79748</v>
      </c>
      <c r="D22" s="5">
        <f t="shared" si="0"/>
        <v>0.36195265085017808</v>
      </c>
    </row>
    <row r="23" spans="1:4" x14ac:dyDescent="0.3">
      <c r="A23" s="6" t="s">
        <v>35</v>
      </c>
      <c r="B23" s="7">
        <f>B20+B21-B22</f>
        <v>198233</v>
      </c>
      <c r="C23" s="7">
        <f>C20+C21-C22</f>
        <v>178454</v>
      </c>
      <c r="D23" s="8">
        <f t="shared" si="0"/>
        <v>0.11083528528360249</v>
      </c>
    </row>
    <row r="24" spans="1:4" x14ac:dyDescent="0.3">
      <c r="A24" t="s">
        <v>36</v>
      </c>
      <c r="B24" s="4">
        <v>-9818</v>
      </c>
      <c r="C24" s="4">
        <v>-8127</v>
      </c>
      <c r="D24" s="5">
        <f t="shared" si="0"/>
        <v>0.20807185923464994</v>
      </c>
    </row>
    <row r="25" spans="1:4" x14ac:dyDescent="0.3">
      <c r="A25" s="6" t="s">
        <v>37</v>
      </c>
      <c r="B25" s="7">
        <f>B23+B24</f>
        <v>188415</v>
      </c>
      <c r="C25" s="7">
        <f>C23+C24</f>
        <v>170327</v>
      </c>
      <c r="D25" s="8">
        <f t="shared" si="0"/>
        <v>0.1061957293911124</v>
      </c>
    </row>
    <row r="27" spans="1:4" x14ac:dyDescent="0.3">
      <c r="A27" s="9" t="s">
        <v>22</v>
      </c>
      <c r="B27" s="10" t="s">
        <v>1</v>
      </c>
      <c r="C27" s="10" t="s">
        <v>2</v>
      </c>
      <c r="D27" s="10" t="s">
        <v>47</v>
      </c>
    </row>
    <row r="28" spans="1:4" x14ac:dyDescent="0.3">
      <c r="A28" s="72" t="s">
        <v>50</v>
      </c>
      <c r="B28" s="72"/>
      <c r="C28" s="72"/>
      <c r="D28" s="72"/>
    </row>
    <row r="29" spans="1:4" x14ac:dyDescent="0.3">
      <c r="A29" s="4" t="s">
        <v>10</v>
      </c>
      <c r="B29" s="4">
        <v>665692</v>
      </c>
      <c r="C29" s="4">
        <v>193171</v>
      </c>
      <c r="D29" s="11">
        <f>(B29-C29)/C29</f>
        <v>2.4461280419938811</v>
      </c>
    </row>
    <row r="30" spans="1:4" x14ac:dyDescent="0.3">
      <c r="A30" s="4" t="s">
        <v>11</v>
      </c>
      <c r="B30" s="4">
        <v>536026</v>
      </c>
      <c r="C30" s="4">
        <v>452275</v>
      </c>
      <c r="D30" s="11">
        <f t="shared" ref="D30:D49" si="1">(B30-C30)/C30</f>
        <v>0.18517715991376929</v>
      </c>
    </row>
    <row r="31" spans="1:4" x14ac:dyDescent="0.3">
      <c r="A31" s="4" t="s">
        <v>38</v>
      </c>
      <c r="B31" s="4">
        <v>6067260</v>
      </c>
      <c r="C31" s="4">
        <v>5827707</v>
      </c>
      <c r="D31" s="11">
        <f t="shared" si="1"/>
        <v>4.1105875775841169E-2</v>
      </c>
    </row>
    <row r="32" spans="1:4" x14ac:dyDescent="0.3">
      <c r="A32" s="4" t="s">
        <v>12</v>
      </c>
      <c r="B32" s="4">
        <v>1243775</v>
      </c>
      <c r="C32" s="4">
        <v>1126683</v>
      </c>
      <c r="D32" s="11">
        <f t="shared" si="1"/>
        <v>0.10392630402695345</v>
      </c>
    </row>
    <row r="33" spans="1:4" x14ac:dyDescent="0.3">
      <c r="A33" s="4" t="s">
        <v>13</v>
      </c>
      <c r="B33" s="4">
        <v>94297</v>
      </c>
      <c r="C33" s="4">
        <v>75114</v>
      </c>
      <c r="D33" s="11">
        <f t="shared" si="1"/>
        <v>0.25538514790851241</v>
      </c>
    </row>
    <row r="34" spans="1:4" x14ac:dyDescent="0.3">
      <c r="A34" s="4" t="s">
        <v>14</v>
      </c>
      <c r="B34" s="4">
        <v>31791</v>
      </c>
      <c r="C34" s="4">
        <v>43571</v>
      </c>
      <c r="D34" s="11">
        <f t="shared" si="1"/>
        <v>-0.27036331504900046</v>
      </c>
    </row>
    <row r="35" spans="1:4" x14ac:dyDescent="0.3">
      <c r="A35" s="7" t="s">
        <v>15</v>
      </c>
      <c r="B35" s="7">
        <f>SUM(B29:B34)</f>
        <v>8638841</v>
      </c>
      <c r="C35" s="7">
        <f>SUM(C29:C34)</f>
        <v>7718521</v>
      </c>
      <c r="D35" s="12">
        <f t="shared" si="1"/>
        <v>0.11923527836485773</v>
      </c>
    </row>
    <row r="36" spans="1:4" x14ac:dyDescent="0.3">
      <c r="A36" s="73" t="s">
        <v>48</v>
      </c>
      <c r="B36" s="73"/>
      <c r="C36" s="73"/>
      <c r="D36" s="73"/>
    </row>
    <row r="37" spans="1:4" x14ac:dyDescent="0.3">
      <c r="A37" s="4" t="s">
        <v>39</v>
      </c>
      <c r="B37" s="4">
        <v>0</v>
      </c>
      <c r="C37" s="4">
        <v>117130</v>
      </c>
      <c r="D37" s="14">
        <f t="shared" si="1"/>
        <v>-1</v>
      </c>
    </row>
    <row r="38" spans="1:4" x14ac:dyDescent="0.3">
      <c r="A38" s="4" t="s">
        <v>40</v>
      </c>
      <c r="B38" s="4">
        <v>50675</v>
      </c>
      <c r="C38" s="4">
        <v>61460</v>
      </c>
      <c r="D38" s="14">
        <f t="shared" si="1"/>
        <v>-0.17547998698340384</v>
      </c>
    </row>
    <row r="39" spans="1:4" x14ac:dyDescent="0.3">
      <c r="A39" s="4" t="s">
        <v>41</v>
      </c>
      <c r="B39" s="4">
        <v>6695428</v>
      </c>
      <c r="C39" s="4">
        <v>5803572</v>
      </c>
      <c r="D39" s="14">
        <f t="shared" si="1"/>
        <v>0.15367363409982679</v>
      </c>
    </row>
    <row r="40" spans="1:4" x14ac:dyDescent="0.3">
      <c r="A40" s="4" t="s">
        <v>16</v>
      </c>
      <c r="B40" s="4">
        <v>181024</v>
      </c>
      <c r="C40" s="4">
        <v>257291</v>
      </c>
      <c r="D40" s="14">
        <f t="shared" si="1"/>
        <v>-0.29642311623803397</v>
      </c>
    </row>
    <row r="41" spans="1:4" x14ac:dyDescent="0.3">
      <c r="A41" s="4" t="s">
        <v>17</v>
      </c>
      <c r="B41" s="4">
        <v>300289</v>
      </c>
      <c r="C41" s="4">
        <v>177758</v>
      </c>
      <c r="D41" s="14">
        <f t="shared" si="1"/>
        <v>0.68931356113367614</v>
      </c>
    </row>
    <row r="42" spans="1:4" x14ac:dyDescent="0.3">
      <c r="A42" s="7" t="s">
        <v>18</v>
      </c>
      <c r="B42" s="7">
        <f>SUM(B37:B41)</f>
        <v>7227416</v>
      </c>
      <c r="C42" s="7">
        <f>SUM(C37:C41)</f>
        <v>6417211</v>
      </c>
      <c r="D42" s="15">
        <f t="shared" si="1"/>
        <v>0.12625500392616046</v>
      </c>
    </row>
    <row r="43" spans="1:4" x14ac:dyDescent="0.3">
      <c r="A43" s="73" t="s">
        <v>49</v>
      </c>
      <c r="B43" s="73"/>
      <c r="C43" s="73"/>
      <c r="D43" s="73"/>
    </row>
    <row r="44" spans="1:4" x14ac:dyDescent="0.3">
      <c r="A44" s="4" t="s">
        <v>19</v>
      </c>
      <c r="B44" s="4">
        <v>270000</v>
      </c>
      <c r="C44" s="4">
        <v>270000</v>
      </c>
      <c r="D44" s="64">
        <f t="shared" si="1"/>
        <v>0</v>
      </c>
    </row>
    <row r="45" spans="1:4" x14ac:dyDescent="0.3">
      <c r="A45" s="4" t="s">
        <v>20</v>
      </c>
      <c r="B45" s="4">
        <v>951782</v>
      </c>
      <c r="C45" s="4">
        <v>859783</v>
      </c>
      <c r="D45" s="11">
        <f t="shared" si="1"/>
        <v>0.10700258088378115</v>
      </c>
    </row>
    <row r="46" spans="1:4" x14ac:dyDescent="0.3">
      <c r="A46" s="4" t="s">
        <v>42</v>
      </c>
      <c r="B46" s="4">
        <v>1228</v>
      </c>
      <c r="C46" s="4">
        <v>1200</v>
      </c>
      <c r="D46" s="11">
        <f t="shared" si="1"/>
        <v>2.3333333333333334E-2</v>
      </c>
    </row>
    <row r="47" spans="1:4" x14ac:dyDescent="0.3">
      <c r="A47" s="4" t="s">
        <v>43</v>
      </c>
      <c r="B47" s="4">
        <v>188415</v>
      </c>
      <c r="C47" s="4">
        <v>170327</v>
      </c>
      <c r="D47" s="11">
        <f t="shared" si="1"/>
        <v>0.1061957293911124</v>
      </c>
    </row>
    <row r="48" spans="1:4" x14ac:dyDescent="0.3">
      <c r="A48" s="7" t="s">
        <v>21</v>
      </c>
      <c r="B48" s="7">
        <f>SUM(B44:B47)</f>
        <v>1411425</v>
      </c>
      <c r="C48" s="7">
        <f>SUM(C44:C47)</f>
        <v>1301310</v>
      </c>
      <c r="D48" s="12">
        <f t="shared" si="1"/>
        <v>8.4618576665052903E-2</v>
      </c>
    </row>
    <row r="49" spans="1:4" x14ac:dyDescent="0.3">
      <c r="A49" s="7" t="s">
        <v>44</v>
      </c>
      <c r="B49" s="7">
        <f>B42+B48</f>
        <v>8638841</v>
      </c>
      <c r="C49" s="7">
        <f>C42+C48</f>
        <v>7718521</v>
      </c>
      <c r="D49" s="12">
        <f t="shared" si="1"/>
        <v>0.11923527836485773</v>
      </c>
    </row>
  </sheetData>
  <mergeCells count="6">
    <mergeCell ref="A28:D28"/>
    <mergeCell ref="A36:D36"/>
    <mergeCell ref="A43:D43"/>
    <mergeCell ref="A1:D1"/>
    <mergeCell ref="A2:D2"/>
    <mergeCell ref="A3:D3"/>
  </mergeCells>
  <phoneticPr fontId="6" type="noConversion"/>
  <conditionalFormatting sqref="D5:D25">
    <cfRule type="cellIs" dxfId="8" priority="8" operator="lessThan">
      <formula>0</formula>
    </cfRule>
    <cfRule type="cellIs" dxfId="7" priority="9" operator="greaterThan">
      <formula>0</formula>
    </cfRule>
  </conditionalFormatting>
  <conditionalFormatting sqref="D29:D35">
    <cfRule type="cellIs" dxfId="6" priority="6" operator="greaterThan">
      <formula>0</formula>
    </cfRule>
    <cfRule type="cellIs" dxfId="5" priority="7" operator="lessThan">
      <formula>0</formula>
    </cfRule>
  </conditionalFormatting>
  <conditionalFormatting sqref="D37:D42">
    <cfRule type="cellIs" dxfId="4" priority="4" operator="lessThan">
      <formula>0</formula>
    </cfRule>
    <cfRule type="cellIs" dxfId="3" priority="5" operator="greaterThan">
      <formula>0</formula>
    </cfRule>
  </conditionalFormatting>
  <conditionalFormatting sqref="D44">
    <cfRule type="cellIs" dxfId="2" priority="1" operator="equal">
      <formula>0</formula>
    </cfRule>
  </conditionalFormatting>
  <conditionalFormatting sqref="D44:D49">
    <cfRule type="cellIs" dxfId="1" priority="2" operator="greaterThan">
      <formula>0</formula>
    </cfRule>
    <cfRule type="cellIs" dxfId="0" priority="3"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11E9-F023-438D-8B19-159CB4155F83}">
  <dimension ref="A1:D20"/>
  <sheetViews>
    <sheetView zoomScale="80" zoomScaleNormal="80" workbookViewId="0">
      <selection activeCell="M5" sqref="M5"/>
    </sheetView>
  </sheetViews>
  <sheetFormatPr defaultRowHeight="14.4" x14ac:dyDescent="0.3"/>
  <cols>
    <col min="1" max="1" width="41.6640625" bestFit="1" customWidth="1"/>
    <col min="2" max="3" width="15.77734375" customWidth="1"/>
    <col min="4" max="4" width="96.109375" customWidth="1"/>
  </cols>
  <sheetData>
    <row r="1" spans="1:4" ht="17.399999999999999" x14ac:dyDescent="0.3">
      <c r="A1" s="76" t="s">
        <v>51</v>
      </c>
      <c r="B1" s="76"/>
      <c r="C1" s="76"/>
      <c r="D1" s="76"/>
    </row>
    <row r="2" spans="1:4" x14ac:dyDescent="0.3">
      <c r="A2" s="77" t="s">
        <v>52</v>
      </c>
      <c r="B2" s="77"/>
      <c r="C2" s="77"/>
      <c r="D2" s="77"/>
    </row>
    <row r="3" spans="1:4" x14ac:dyDescent="0.3">
      <c r="A3" s="70"/>
      <c r="B3" s="70"/>
      <c r="C3" s="70"/>
      <c r="D3" s="70"/>
    </row>
    <row r="4" spans="1:4" x14ac:dyDescent="0.3">
      <c r="A4" s="21" t="s">
        <v>53</v>
      </c>
      <c r="B4" s="21">
        <v>2024</v>
      </c>
      <c r="C4" s="21">
        <v>2023</v>
      </c>
      <c r="D4" s="21" t="s">
        <v>54</v>
      </c>
    </row>
    <row r="5" spans="1:4" ht="34.950000000000003" customHeight="1" x14ac:dyDescent="0.3">
      <c r="A5" s="17" t="s">
        <v>55</v>
      </c>
      <c r="B5" s="18">
        <f>'Clean Data'!B25/'Clean Data'!B9</f>
        <v>0.21338366250012741</v>
      </c>
      <c r="C5" s="18">
        <f>'Clean Data'!C25/'Clean Data'!C9</f>
        <v>0.20904199568482004</v>
      </c>
      <c r="D5" s="16" t="s">
        <v>142</v>
      </c>
    </row>
    <row r="6" spans="1:4" ht="34.950000000000003" customHeight="1" x14ac:dyDescent="0.3">
      <c r="A6" s="17" t="s">
        <v>56</v>
      </c>
      <c r="B6" s="18">
        <f>'Clean Data'!B25/'Clean Data'!B35</f>
        <v>2.181021736596379E-2</v>
      </c>
      <c r="C6" s="18">
        <f>'Clean Data'!C25/'Clean Data'!C35</f>
        <v>2.2067310563772514E-2</v>
      </c>
      <c r="D6" s="16" t="s">
        <v>143</v>
      </c>
    </row>
    <row r="7" spans="1:4" ht="34.950000000000003" customHeight="1" x14ac:dyDescent="0.3">
      <c r="A7" s="17" t="s">
        <v>57</v>
      </c>
      <c r="B7" s="18">
        <f>'Clean Data'!B25/'Clean Data'!B48</f>
        <v>0.13349274669217281</v>
      </c>
      <c r="C7" s="18">
        <f>'Clean Data'!C25/'Clean Data'!C48</f>
        <v>0.13088887351976086</v>
      </c>
      <c r="D7" s="16" t="s">
        <v>144</v>
      </c>
    </row>
    <row r="8" spans="1:4" ht="34.950000000000003" customHeight="1" x14ac:dyDescent="0.3">
      <c r="A8" s="17" t="s">
        <v>58</v>
      </c>
      <c r="B8" s="18">
        <f>('Clean Data'!B17+'Clean Data'!B18+'Clean Data'!B19)/'Clean Data'!B13</f>
        <v>0.32311734658862518</v>
      </c>
      <c r="C8" s="18">
        <f>('Clean Data'!C17+'Clean Data'!C18+'Clean Data'!C19)/'Clean Data'!C13</f>
        <v>0.32060048122188511</v>
      </c>
      <c r="D8" s="16" t="s">
        <v>145</v>
      </c>
    </row>
    <row r="9" spans="1:4" x14ac:dyDescent="0.3">
      <c r="A9" s="78"/>
      <c r="B9" s="78"/>
      <c r="C9" s="78"/>
      <c r="D9" s="78"/>
    </row>
    <row r="10" spans="1:4" x14ac:dyDescent="0.3">
      <c r="A10" s="22" t="s">
        <v>59</v>
      </c>
      <c r="B10" s="22">
        <v>2024</v>
      </c>
      <c r="C10" s="22">
        <v>2023</v>
      </c>
      <c r="D10" s="21" t="s">
        <v>54</v>
      </c>
    </row>
    <row r="11" spans="1:4" ht="34.950000000000003" customHeight="1" x14ac:dyDescent="0.3">
      <c r="A11" s="17" t="s">
        <v>60</v>
      </c>
      <c r="B11" s="19">
        <f>'Clean Data'!B42/'Clean Data'!B48</f>
        <v>5.1206518235116993</v>
      </c>
      <c r="C11" s="19">
        <f>'Clean Data'!C42/'Clean Data'!C48</f>
        <v>4.93134687353513</v>
      </c>
      <c r="D11" s="16" t="s">
        <v>146</v>
      </c>
    </row>
    <row r="12" spans="1:4" ht="34.950000000000003" customHeight="1" x14ac:dyDescent="0.3">
      <c r="A12" s="17" t="s">
        <v>61</v>
      </c>
      <c r="B12" s="20">
        <f>'Clean Data'!B48/'Clean Data'!B35</f>
        <v>0.16338129154130746</v>
      </c>
      <c r="C12" s="20">
        <f>'Clean Data'!C48/'Clean Data'!C35</f>
        <v>0.1685957711328375</v>
      </c>
      <c r="D12" s="16" t="s">
        <v>147</v>
      </c>
    </row>
    <row r="13" spans="1:4" x14ac:dyDescent="0.3">
      <c r="A13" s="78"/>
      <c r="B13" s="78"/>
      <c r="C13" s="78"/>
      <c r="D13" s="78"/>
    </row>
    <row r="14" spans="1:4" x14ac:dyDescent="0.3">
      <c r="A14" s="22" t="s">
        <v>63</v>
      </c>
      <c r="B14" s="22">
        <v>2024</v>
      </c>
      <c r="C14" s="22">
        <v>2023</v>
      </c>
      <c r="D14" s="21" t="s">
        <v>54</v>
      </c>
    </row>
    <row r="15" spans="1:4" ht="34.950000000000003" customHeight="1" x14ac:dyDescent="0.3">
      <c r="A15" s="17" t="s">
        <v>62</v>
      </c>
      <c r="B15" s="20">
        <f>'Clean Data'!B31/'Clean Data'!B39</f>
        <v>0.90617956014163692</v>
      </c>
      <c r="C15" s="20">
        <f>'Clean Data'!C31/'Clean Data'!C39</f>
        <v>1.0041586457443794</v>
      </c>
      <c r="D15" s="16" t="s">
        <v>148</v>
      </c>
    </row>
    <row r="16" spans="1:4" ht="34.950000000000003" customHeight="1" x14ac:dyDescent="0.3">
      <c r="A16" s="17" t="s">
        <v>64</v>
      </c>
      <c r="B16" s="20">
        <f>('Clean Data'!B5-'Clean Data'!B10)/'Clean Data'!B35</f>
        <v>3.5428363596459296E-2</v>
      </c>
      <c r="C16" s="20">
        <f>('Clean Data'!C5-'Clean Data'!C10)/'Clean Data'!C35</f>
        <v>3.5622627702898001E-2</v>
      </c>
      <c r="D16" s="16" t="s">
        <v>149</v>
      </c>
    </row>
    <row r="18" spans="1:4" x14ac:dyDescent="0.3">
      <c r="A18" s="60" t="s">
        <v>105</v>
      </c>
      <c r="B18" s="60">
        <v>2024</v>
      </c>
      <c r="C18" s="60">
        <v>2023</v>
      </c>
      <c r="D18" s="60" t="s">
        <v>54</v>
      </c>
    </row>
    <row r="19" spans="1:4" x14ac:dyDescent="0.3">
      <c r="A19" t="s">
        <v>106</v>
      </c>
      <c r="B19" s="11">
        <f>'Clean Data'!B14/'Clean Data'!B31</f>
        <v>5.4569937665437116E-3</v>
      </c>
      <c r="C19" s="11">
        <f>'Clean Data'!C14/'Clean Data'!C31</f>
        <v>1.0098654582325433E-2</v>
      </c>
      <c r="D19" t="s">
        <v>150</v>
      </c>
    </row>
    <row r="20" spans="1:4" x14ac:dyDescent="0.3">
      <c r="A20" t="s">
        <v>107</v>
      </c>
      <c r="B20" s="11">
        <f>('Clean Data'!B14-'Clean Data'!C14)/'Clean Data'!C14</f>
        <v>-0.437419289064093</v>
      </c>
      <c r="C20" s="63" t="s">
        <v>104</v>
      </c>
      <c r="D20" t="s">
        <v>151</v>
      </c>
    </row>
  </sheetData>
  <mergeCells count="5">
    <mergeCell ref="A1:D1"/>
    <mergeCell ref="A2:D2"/>
    <mergeCell ref="A3:D3"/>
    <mergeCell ref="A9:D9"/>
    <mergeCell ref="A13:D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9386-AB33-4BC8-B3E5-355950061BF4}">
  <dimension ref="A1:E20"/>
  <sheetViews>
    <sheetView zoomScaleNormal="100" workbookViewId="0">
      <selection activeCell="F8" sqref="F8"/>
    </sheetView>
  </sheetViews>
  <sheetFormatPr defaultRowHeight="14.4" x14ac:dyDescent="0.3"/>
  <cols>
    <col min="1" max="1" width="38.77734375" customWidth="1"/>
    <col min="2" max="4" width="18.77734375" customWidth="1"/>
    <col min="5" max="5" width="15.77734375" customWidth="1"/>
  </cols>
  <sheetData>
    <row r="1" spans="1:5" ht="17.399999999999999" x14ac:dyDescent="0.35">
      <c r="A1" s="68" t="s">
        <v>65</v>
      </c>
      <c r="B1" s="68"/>
      <c r="C1" s="68"/>
      <c r="D1" s="68"/>
      <c r="E1" s="68"/>
    </row>
    <row r="2" spans="1:5" x14ac:dyDescent="0.3">
      <c r="A2" s="69" t="s">
        <v>66</v>
      </c>
      <c r="B2" s="69"/>
      <c r="C2" s="69"/>
      <c r="D2" s="69"/>
      <c r="E2" s="69"/>
    </row>
    <row r="3" spans="1:5" x14ac:dyDescent="0.3">
      <c r="A3" s="70"/>
      <c r="B3" s="70"/>
      <c r="C3" s="70"/>
      <c r="D3" s="70"/>
      <c r="E3" s="70"/>
    </row>
    <row r="4" spans="1:5" x14ac:dyDescent="0.3">
      <c r="A4" s="21" t="s">
        <v>67</v>
      </c>
      <c r="B4" s="21" t="s">
        <v>1</v>
      </c>
      <c r="C4" s="21" t="s">
        <v>2</v>
      </c>
      <c r="D4" s="21" t="s">
        <v>68</v>
      </c>
      <c r="E4" s="21" t="s">
        <v>69</v>
      </c>
    </row>
    <row r="5" spans="1:5" x14ac:dyDescent="0.3">
      <c r="A5" s="23" t="s">
        <v>70</v>
      </c>
      <c r="B5" s="24">
        <f>'Clean Data'!B9</f>
        <v>882987</v>
      </c>
      <c r="C5" s="24">
        <f>'Clean Data'!C9</f>
        <v>814798</v>
      </c>
      <c r="D5" s="24">
        <f t="shared" ref="D5:D12" si="0">B5-C5</f>
        <v>68189</v>
      </c>
      <c r="E5" s="25">
        <f t="shared" ref="E5:E12" si="1">(B5-C5)/C5</f>
        <v>8.3688227020684888E-2</v>
      </c>
    </row>
    <row r="6" spans="1:5" x14ac:dyDescent="0.3">
      <c r="A6" t="s">
        <v>8</v>
      </c>
      <c r="B6" s="4">
        <f>'Clean Data'!B13</f>
        <v>509985</v>
      </c>
      <c r="C6" s="4">
        <f>'Clean Data'!C13</f>
        <v>477950</v>
      </c>
      <c r="D6" s="4">
        <f t="shared" si="0"/>
        <v>32035</v>
      </c>
      <c r="E6" s="11">
        <f t="shared" si="1"/>
        <v>6.7025839522962649E-2</v>
      </c>
    </row>
    <row r="7" spans="1:5" x14ac:dyDescent="0.3">
      <c r="A7" s="23" t="s">
        <v>71</v>
      </c>
      <c r="B7" s="24">
        <f>'Clean Data'!B20</f>
        <v>306884</v>
      </c>
      <c r="C7" s="24">
        <f>'Clean Data'!C20</f>
        <v>256369</v>
      </c>
      <c r="D7" s="24">
        <f t="shared" si="0"/>
        <v>50515</v>
      </c>
      <c r="E7" s="25">
        <f t="shared" si="1"/>
        <v>0.19704020376878639</v>
      </c>
    </row>
    <row r="8" spans="1:5" x14ac:dyDescent="0.3">
      <c r="A8" s="1" t="s">
        <v>72</v>
      </c>
      <c r="B8" s="26">
        <f>'Clean Data'!B25</f>
        <v>188415</v>
      </c>
      <c r="C8" s="26">
        <f>'Clean Data'!C25</f>
        <v>170327</v>
      </c>
      <c r="D8" s="26">
        <f t="shared" si="0"/>
        <v>18088</v>
      </c>
      <c r="E8" s="27">
        <f t="shared" si="1"/>
        <v>0.1061957293911124</v>
      </c>
    </row>
    <row r="9" spans="1:5" x14ac:dyDescent="0.3">
      <c r="A9" s="28" t="s">
        <v>15</v>
      </c>
      <c r="B9" s="29">
        <f>'Clean Data'!B35</f>
        <v>8638841</v>
      </c>
      <c r="C9" s="29">
        <f>'Clean Data'!C35</f>
        <v>7718521</v>
      </c>
      <c r="D9" s="29">
        <f t="shared" si="0"/>
        <v>920320</v>
      </c>
      <c r="E9" s="30">
        <f t="shared" si="1"/>
        <v>0.11923527836485773</v>
      </c>
    </row>
    <row r="10" spans="1:5" x14ac:dyDescent="0.3">
      <c r="A10" t="s">
        <v>41</v>
      </c>
      <c r="B10" s="4">
        <f>'Clean Data'!B39</f>
        <v>6695428</v>
      </c>
      <c r="C10" s="4">
        <f>'Clean Data'!C39</f>
        <v>5803572</v>
      </c>
      <c r="D10" s="4">
        <f t="shared" si="0"/>
        <v>891856</v>
      </c>
      <c r="E10" s="11">
        <f t="shared" si="1"/>
        <v>0.15367363409982679</v>
      </c>
    </row>
    <row r="11" spans="1:5" x14ac:dyDescent="0.3">
      <c r="A11" s="23" t="s">
        <v>38</v>
      </c>
      <c r="B11" s="24">
        <f>'Clean Data'!B31</f>
        <v>6067260</v>
      </c>
      <c r="C11" s="24">
        <f>'Clean Data'!C31</f>
        <v>5827707</v>
      </c>
      <c r="D11" s="24">
        <f t="shared" si="0"/>
        <v>239553</v>
      </c>
      <c r="E11" s="25">
        <f t="shared" si="1"/>
        <v>4.1105875775841169E-2</v>
      </c>
    </row>
    <row r="12" spans="1:5" x14ac:dyDescent="0.3">
      <c r="A12" s="31" t="s">
        <v>21</v>
      </c>
      <c r="B12" s="32">
        <f>'Clean Data'!B48</f>
        <v>1411425</v>
      </c>
      <c r="C12" s="32">
        <f>'Clean Data'!C48</f>
        <v>1301310</v>
      </c>
      <c r="D12" s="32">
        <f t="shared" si="0"/>
        <v>110115</v>
      </c>
      <c r="E12" s="33">
        <f t="shared" si="1"/>
        <v>8.4618576665052903E-2</v>
      </c>
    </row>
    <row r="13" spans="1:5" x14ac:dyDescent="0.3">
      <c r="A13" s="67"/>
      <c r="B13" s="67"/>
      <c r="C13" s="67"/>
      <c r="D13" s="67"/>
      <c r="E13" s="67"/>
    </row>
    <row r="14" spans="1:5" x14ac:dyDescent="0.3">
      <c r="A14" s="71" t="s">
        <v>73</v>
      </c>
      <c r="B14" s="71"/>
      <c r="C14" s="71"/>
      <c r="D14" s="71"/>
      <c r="E14" s="71"/>
    </row>
    <row r="15" spans="1:5" x14ac:dyDescent="0.3">
      <c r="A15" s="65" t="s">
        <v>74</v>
      </c>
      <c r="B15" s="65"/>
      <c r="C15" s="65"/>
      <c r="D15" s="65"/>
      <c r="E15" s="65"/>
    </row>
    <row r="16" spans="1:5" x14ac:dyDescent="0.3">
      <c r="A16" s="65" t="s">
        <v>75</v>
      </c>
      <c r="B16" s="65"/>
      <c r="C16" s="65"/>
      <c r="D16" s="65"/>
      <c r="E16" s="65"/>
    </row>
    <row r="17" spans="1:5" x14ac:dyDescent="0.3">
      <c r="A17" s="65" t="s">
        <v>76</v>
      </c>
      <c r="B17" s="65"/>
      <c r="C17" s="65"/>
      <c r="D17" s="65"/>
      <c r="E17" s="65"/>
    </row>
    <row r="18" spans="1:5" x14ac:dyDescent="0.3">
      <c r="A18" s="65" t="s">
        <v>77</v>
      </c>
      <c r="B18" s="65"/>
      <c r="C18" s="65"/>
      <c r="D18" s="65"/>
      <c r="E18" s="65"/>
    </row>
    <row r="19" spans="1:5" x14ac:dyDescent="0.3">
      <c r="A19" s="65" t="s">
        <v>78</v>
      </c>
      <c r="B19" s="65"/>
      <c r="C19" s="65"/>
      <c r="D19" s="65"/>
      <c r="E19" s="65"/>
    </row>
    <row r="20" spans="1:5" x14ac:dyDescent="0.3">
      <c r="A20" s="66" t="s">
        <v>79</v>
      </c>
      <c r="B20" s="66"/>
      <c r="C20" s="66"/>
      <c r="D20" s="66"/>
      <c r="E20" s="66"/>
    </row>
  </sheetData>
  <mergeCells count="11">
    <mergeCell ref="A19:E19"/>
    <mergeCell ref="A20:E20"/>
    <mergeCell ref="A13:E13"/>
    <mergeCell ref="A1:E1"/>
    <mergeCell ref="A2:E2"/>
    <mergeCell ref="A3:E3"/>
    <mergeCell ref="A14:E14"/>
    <mergeCell ref="A15:E15"/>
    <mergeCell ref="A16:E16"/>
    <mergeCell ref="A17:E17"/>
    <mergeCell ref="A18:E18"/>
  </mergeCells>
  <conditionalFormatting sqref="A15:E15">
    <cfRule type="iconSet" priority="1">
      <iconSet iconSet="5ArrowsGray">
        <cfvo type="percent" val="0"/>
        <cfvo type="percent" val="20"/>
        <cfvo type="percent" val="40"/>
        <cfvo type="percent" val="60"/>
        <cfvo type="percent" val="80"/>
      </iconSet>
    </cfRule>
    <cfRule type="iconSet" priority="2">
      <iconSet iconSet="3Arrows">
        <cfvo type="percent" val="0"/>
        <cfvo type="percent" val="33"/>
        <cfvo type="percent" val="67"/>
      </iconSet>
    </cfRule>
  </conditionalFormatting>
  <conditionalFormatting sqref="A15:E18">
    <cfRule type="iconSet" priority="3">
      <iconSet iconSet="3Symbols2">
        <cfvo type="percent" val="0"/>
        <cfvo type="percent" val="33"/>
        <cfvo type="percent" val="67"/>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1966-E0EB-4434-9C0F-67C38BDB474F}">
  <dimension ref="A1:F24"/>
  <sheetViews>
    <sheetView showGridLines="0" zoomScale="75" zoomScaleNormal="75" workbookViewId="0">
      <selection activeCell="J8" sqref="J8"/>
    </sheetView>
  </sheetViews>
  <sheetFormatPr defaultRowHeight="14.4" x14ac:dyDescent="0.3"/>
  <cols>
    <col min="1" max="1" width="3.77734375" customWidth="1"/>
    <col min="2" max="2" width="24.88671875" bestFit="1" customWidth="1"/>
    <col min="3" max="3" width="18.77734375" customWidth="1"/>
    <col min="4" max="4" width="3.77734375" customWidth="1"/>
    <col min="5" max="5" width="25" customWidth="1"/>
    <col min="6" max="6" width="18.77734375" customWidth="1"/>
    <col min="7" max="7" width="3.77734375" customWidth="1"/>
  </cols>
  <sheetData>
    <row r="1" spans="1:6" ht="34.950000000000003" customHeight="1" x14ac:dyDescent="0.3">
      <c r="A1" s="17"/>
      <c r="B1" s="84" t="s">
        <v>80</v>
      </c>
      <c r="C1" s="84"/>
      <c r="D1" s="84"/>
      <c r="E1" s="84"/>
      <c r="F1" s="84"/>
    </row>
    <row r="2" spans="1:6" x14ac:dyDescent="0.3">
      <c r="B2" s="85" t="s">
        <v>81</v>
      </c>
      <c r="C2" s="85"/>
      <c r="D2" s="85"/>
      <c r="E2" s="85"/>
      <c r="F2" s="85"/>
    </row>
    <row r="3" spans="1:6" x14ac:dyDescent="0.3">
      <c r="B3" s="83"/>
      <c r="C3" s="83"/>
      <c r="D3" s="83"/>
      <c r="E3" s="83"/>
      <c r="F3" s="83"/>
    </row>
    <row r="4" spans="1:6" ht="15.6" x14ac:dyDescent="0.3">
      <c r="B4" s="79" t="s">
        <v>82</v>
      </c>
      <c r="C4" s="79"/>
      <c r="D4" s="79"/>
      <c r="E4" s="79"/>
      <c r="F4" s="79"/>
    </row>
    <row r="5" spans="1:6" ht="25.05" customHeight="1" x14ac:dyDescent="0.3">
      <c r="B5" s="47" t="s">
        <v>83</v>
      </c>
      <c r="C5" s="34">
        <f>'Clean Data'!B35</f>
        <v>8638841</v>
      </c>
      <c r="D5" s="16"/>
      <c r="E5" s="56" t="s">
        <v>85</v>
      </c>
      <c r="F5" s="35">
        <f>'Clean Data'!B25</f>
        <v>188415</v>
      </c>
    </row>
    <row r="6" spans="1:6" ht="25.05" customHeight="1" x14ac:dyDescent="0.3">
      <c r="B6" s="48" t="s">
        <v>84</v>
      </c>
      <c r="C6" s="36">
        <f>('Clean Data'!B35-'Clean Data'!C35)/'Clean Data'!C35</f>
        <v>0.11923527836485773</v>
      </c>
      <c r="D6" s="16"/>
      <c r="E6" s="57" t="s">
        <v>84</v>
      </c>
      <c r="F6" s="37">
        <f>('Clean Data'!B25-'Clean Data'!C25)/'Clean Data'!C25</f>
        <v>0.1061957293911124</v>
      </c>
    </row>
    <row r="7" spans="1:6" ht="4.95" customHeight="1" x14ac:dyDescent="0.3">
      <c r="B7" s="49"/>
      <c r="C7" s="16"/>
      <c r="D7" s="16"/>
      <c r="E7" s="16"/>
      <c r="F7" s="16"/>
    </row>
    <row r="8" spans="1:6" ht="25.05" customHeight="1" x14ac:dyDescent="0.3">
      <c r="B8" s="50" t="s">
        <v>86</v>
      </c>
      <c r="C8" s="38">
        <f>'Clean Data'!B13</f>
        <v>509985</v>
      </c>
      <c r="D8" s="16"/>
      <c r="E8" s="58" t="s">
        <v>87</v>
      </c>
      <c r="F8" s="39">
        <f>'Clean Data'!B39</f>
        <v>6695428</v>
      </c>
    </row>
    <row r="9" spans="1:6" ht="25.05" customHeight="1" x14ac:dyDescent="0.3">
      <c r="B9" s="51" t="s">
        <v>84</v>
      </c>
      <c r="C9" s="40">
        <f>('Clean Data'!B13-'Clean Data'!C13)/'Clean Data'!C13</f>
        <v>6.7025839522962649E-2</v>
      </c>
      <c r="D9" s="16"/>
      <c r="E9" s="59" t="s">
        <v>84</v>
      </c>
      <c r="F9" s="41">
        <f>('Clean Data'!B39-'Clean Data'!C39)/'Clean Data'!C39</f>
        <v>0.15367363409982679</v>
      </c>
    </row>
    <row r="10" spans="1:6" x14ac:dyDescent="0.3">
      <c r="B10" s="16"/>
      <c r="C10" s="16"/>
      <c r="D10" s="16"/>
      <c r="E10" s="16"/>
      <c r="F10" s="16"/>
    </row>
    <row r="11" spans="1:6" ht="15.6" x14ac:dyDescent="0.3">
      <c r="B11" s="79" t="s">
        <v>88</v>
      </c>
      <c r="C11" s="79"/>
      <c r="D11" s="79"/>
      <c r="E11" s="79"/>
      <c r="F11" s="79"/>
    </row>
    <row r="12" spans="1:6" x14ac:dyDescent="0.3">
      <c r="B12" s="52" t="s">
        <v>89</v>
      </c>
      <c r="C12" s="42">
        <v>2024</v>
      </c>
      <c r="D12" s="16"/>
      <c r="E12" s="52" t="s">
        <v>89</v>
      </c>
      <c r="F12" s="42">
        <v>2024</v>
      </c>
    </row>
    <row r="13" spans="1:6" ht="22.05" customHeight="1" x14ac:dyDescent="0.3">
      <c r="B13" s="53" t="s">
        <v>90</v>
      </c>
      <c r="C13" s="43">
        <f>'Analyse des Ratios'!B5</f>
        <v>0.21338366250012741</v>
      </c>
      <c r="D13" s="16"/>
      <c r="E13" s="53" t="s">
        <v>91</v>
      </c>
      <c r="F13" s="43">
        <f>'Analyse des Ratios'!B7</f>
        <v>0.13349274669217281</v>
      </c>
    </row>
    <row r="14" spans="1:6" ht="22.05" customHeight="1" x14ac:dyDescent="0.3">
      <c r="B14" s="54" t="s">
        <v>92</v>
      </c>
      <c r="C14" s="44">
        <f>'Analyse des Ratios'!B6</f>
        <v>2.181021736596379E-2</v>
      </c>
      <c r="D14" s="16"/>
      <c r="E14" s="54" t="s">
        <v>93</v>
      </c>
      <c r="F14" s="44">
        <f>'Analyse des Ratios'!B15</f>
        <v>0.90617956014163692</v>
      </c>
    </row>
    <row r="15" spans="1:6" ht="22.05" customHeight="1" x14ac:dyDescent="0.3">
      <c r="B15" s="53" t="s">
        <v>58</v>
      </c>
      <c r="C15" s="43">
        <f>'Analyse des Ratios'!B8</f>
        <v>0.32311734658862518</v>
      </c>
      <c r="D15" s="16"/>
      <c r="E15" s="53" t="s">
        <v>94</v>
      </c>
      <c r="F15" s="43">
        <f>'Analyse des Ratios'!B16</f>
        <v>3.5428363596459296E-2</v>
      </c>
    </row>
    <row r="16" spans="1:6" ht="22.05" customHeight="1" x14ac:dyDescent="0.3">
      <c r="B16" s="55" t="s">
        <v>95</v>
      </c>
      <c r="C16" s="45">
        <f>'Analyse des Ratios'!B11</f>
        <v>5.1206518235116993</v>
      </c>
      <c r="D16" s="16"/>
      <c r="E16" s="55" t="s">
        <v>96</v>
      </c>
      <c r="F16" s="46">
        <f>'Analyse des Ratios'!B12</f>
        <v>0.16338129154130746</v>
      </c>
    </row>
    <row r="17" spans="1:6" x14ac:dyDescent="0.3">
      <c r="B17" s="83"/>
      <c r="C17" s="83"/>
      <c r="D17" s="83"/>
      <c r="E17" s="83"/>
      <c r="F17" s="83"/>
    </row>
    <row r="18" spans="1:6" ht="15.6" x14ac:dyDescent="0.3">
      <c r="B18" s="79" t="s">
        <v>97</v>
      </c>
      <c r="C18" s="79"/>
      <c r="D18" s="79"/>
      <c r="E18" s="79"/>
      <c r="F18" s="79"/>
    </row>
    <row r="19" spans="1:6" ht="28.05" customHeight="1" x14ac:dyDescent="0.3">
      <c r="A19" s="17"/>
      <c r="B19" s="80" t="s">
        <v>98</v>
      </c>
      <c r="C19" s="81"/>
      <c r="D19" s="81"/>
      <c r="E19" s="81"/>
      <c r="F19" s="82"/>
    </row>
    <row r="20" spans="1:6" ht="28.05" customHeight="1" x14ac:dyDescent="0.3">
      <c r="A20" s="17"/>
      <c r="B20" s="86" t="s">
        <v>99</v>
      </c>
      <c r="C20" s="87"/>
      <c r="D20" s="87"/>
      <c r="E20" s="87"/>
      <c r="F20" s="88"/>
    </row>
    <row r="21" spans="1:6" ht="28.05" customHeight="1" x14ac:dyDescent="0.3">
      <c r="A21" s="17"/>
      <c r="B21" s="89" t="s">
        <v>100</v>
      </c>
      <c r="C21" s="90"/>
      <c r="D21" s="90"/>
      <c r="E21" s="90"/>
      <c r="F21" s="91"/>
    </row>
    <row r="22" spans="1:6" ht="28.05" customHeight="1" x14ac:dyDescent="0.3">
      <c r="A22" s="17"/>
      <c r="B22" s="86" t="s">
        <v>101</v>
      </c>
      <c r="C22" s="87"/>
      <c r="D22" s="87"/>
      <c r="E22" s="87"/>
      <c r="F22" s="88"/>
    </row>
    <row r="23" spans="1:6" ht="28.05" customHeight="1" x14ac:dyDescent="0.3">
      <c r="A23" s="17"/>
      <c r="B23" s="89" t="s">
        <v>102</v>
      </c>
      <c r="C23" s="90"/>
      <c r="D23" s="90"/>
      <c r="E23" s="90"/>
      <c r="F23" s="91"/>
    </row>
    <row r="24" spans="1:6" ht="28.05" customHeight="1" x14ac:dyDescent="0.3">
      <c r="A24" s="17"/>
      <c r="B24" s="92" t="s">
        <v>103</v>
      </c>
      <c r="C24" s="93"/>
      <c r="D24" s="93"/>
      <c r="E24" s="93"/>
      <c r="F24" s="94"/>
    </row>
  </sheetData>
  <mergeCells count="13">
    <mergeCell ref="B20:F20"/>
    <mergeCell ref="B21:F21"/>
    <mergeCell ref="B22:F22"/>
    <mergeCell ref="B23:F23"/>
    <mergeCell ref="B24:F24"/>
    <mergeCell ref="B18:F18"/>
    <mergeCell ref="B19:F19"/>
    <mergeCell ref="B3:F3"/>
    <mergeCell ref="B17:F17"/>
    <mergeCell ref="B1:F1"/>
    <mergeCell ref="B2:F2"/>
    <mergeCell ref="B4:F4"/>
    <mergeCell ref="B11:F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1117-E3DF-467D-8847-55A2A6BD1E68}">
  <dimension ref="A1:C39"/>
  <sheetViews>
    <sheetView topLeftCell="B11" zoomScale="90" zoomScaleNormal="90" workbookViewId="0">
      <selection activeCell="H16" sqref="H16"/>
    </sheetView>
  </sheetViews>
  <sheetFormatPr defaultRowHeight="14.4" x14ac:dyDescent="0.3"/>
  <cols>
    <col min="1" max="1" width="22" bestFit="1" customWidth="1"/>
    <col min="2" max="2" width="18.109375" bestFit="1" customWidth="1"/>
    <col min="3" max="3" width="9.88671875" bestFit="1" customWidth="1"/>
  </cols>
  <sheetData>
    <row r="1" spans="1:3" x14ac:dyDescent="0.3">
      <c r="A1" t="s">
        <v>108</v>
      </c>
      <c r="B1" t="s">
        <v>67</v>
      </c>
      <c r="C1" t="s">
        <v>109</v>
      </c>
    </row>
    <row r="2" spans="1:3" x14ac:dyDescent="0.3">
      <c r="A2">
        <v>2024</v>
      </c>
      <c r="B2" t="s">
        <v>110</v>
      </c>
      <c r="C2" s="4">
        <f>'Clean Data'!B9</f>
        <v>882987</v>
      </c>
    </row>
    <row r="3" spans="1:3" x14ac:dyDescent="0.3">
      <c r="A3">
        <v>2023</v>
      </c>
      <c r="B3" t="s">
        <v>110</v>
      </c>
      <c r="C3" s="4">
        <f>'Clean Data'!C9</f>
        <v>814798</v>
      </c>
    </row>
    <row r="4" spans="1:3" x14ac:dyDescent="0.3">
      <c r="A4">
        <v>2024</v>
      </c>
      <c r="B4" t="s">
        <v>111</v>
      </c>
      <c r="C4" s="4">
        <f>'Clean Data'!B13</f>
        <v>509985</v>
      </c>
    </row>
    <row r="5" spans="1:3" x14ac:dyDescent="0.3">
      <c r="A5">
        <v>2023</v>
      </c>
      <c r="B5" t="s">
        <v>111</v>
      </c>
      <c r="C5" s="4">
        <f>'Clean Data'!C13</f>
        <v>477950</v>
      </c>
    </row>
    <row r="6" spans="1:3" x14ac:dyDescent="0.3">
      <c r="A6">
        <v>2024</v>
      </c>
      <c r="B6" t="s">
        <v>112</v>
      </c>
      <c r="C6" s="4">
        <f>'Clean Data'!B20</f>
        <v>306884</v>
      </c>
    </row>
    <row r="7" spans="1:3" x14ac:dyDescent="0.3">
      <c r="A7">
        <v>2023</v>
      </c>
      <c r="B7" t="s">
        <v>112</v>
      </c>
      <c r="C7" s="4">
        <f>'Clean Data'!C20</f>
        <v>256369</v>
      </c>
    </row>
    <row r="8" spans="1:3" x14ac:dyDescent="0.3">
      <c r="A8">
        <v>2024</v>
      </c>
      <c r="B8" t="s">
        <v>113</v>
      </c>
      <c r="C8" s="4">
        <f>'Clean Data'!B25</f>
        <v>188415</v>
      </c>
    </row>
    <row r="9" spans="1:3" x14ac:dyDescent="0.3">
      <c r="A9">
        <v>2023</v>
      </c>
      <c r="B9" t="s">
        <v>113</v>
      </c>
      <c r="C9" s="4">
        <f>'Clean Data'!C25</f>
        <v>170327</v>
      </c>
    </row>
    <row r="10" spans="1:3" x14ac:dyDescent="0.3">
      <c r="A10">
        <v>2024</v>
      </c>
      <c r="B10" t="s">
        <v>15</v>
      </c>
      <c r="C10" s="4">
        <f>'Clean Data'!B35</f>
        <v>8638841</v>
      </c>
    </row>
    <row r="11" spans="1:3" x14ac:dyDescent="0.3">
      <c r="A11">
        <v>2023</v>
      </c>
      <c r="B11" t="s">
        <v>15</v>
      </c>
      <c r="C11" s="4">
        <f>'Clean Data'!C35</f>
        <v>7718521</v>
      </c>
    </row>
    <row r="12" spans="1:3" x14ac:dyDescent="0.3">
      <c r="A12">
        <v>2024</v>
      </c>
      <c r="B12" t="s">
        <v>114</v>
      </c>
      <c r="C12" s="4">
        <f>'Clean Data'!B39</f>
        <v>6695428</v>
      </c>
    </row>
    <row r="13" spans="1:3" x14ac:dyDescent="0.3">
      <c r="A13">
        <v>2023</v>
      </c>
      <c r="B13" t="s">
        <v>114</v>
      </c>
      <c r="C13" s="4">
        <f>'Clean Data'!C39</f>
        <v>5803572</v>
      </c>
    </row>
    <row r="14" spans="1:3" x14ac:dyDescent="0.3">
      <c r="A14">
        <v>2024</v>
      </c>
      <c r="B14" t="s">
        <v>115</v>
      </c>
      <c r="C14" s="4">
        <f>'Clean Data'!B31</f>
        <v>6067260</v>
      </c>
    </row>
    <row r="15" spans="1:3" x14ac:dyDescent="0.3">
      <c r="A15">
        <v>2023</v>
      </c>
      <c r="B15" t="s">
        <v>115</v>
      </c>
      <c r="C15" s="4">
        <f>'Clean Data'!C31</f>
        <v>5827707</v>
      </c>
    </row>
    <row r="16" spans="1:3" x14ac:dyDescent="0.3">
      <c r="A16">
        <v>2024</v>
      </c>
      <c r="B16" t="s">
        <v>49</v>
      </c>
      <c r="C16" s="4">
        <f>'Clean Data'!B48</f>
        <v>1411425</v>
      </c>
    </row>
    <row r="17" spans="1:3" x14ac:dyDescent="0.3">
      <c r="A17">
        <v>2023</v>
      </c>
      <c r="B17" t="s">
        <v>49</v>
      </c>
      <c r="C17" s="4">
        <f>'Clean Data'!C48</f>
        <v>1301310</v>
      </c>
    </row>
    <row r="19" spans="1:3" x14ac:dyDescent="0.3">
      <c r="A19" t="s">
        <v>121</v>
      </c>
      <c r="B19" t="s">
        <v>130</v>
      </c>
    </row>
    <row r="20" spans="1:3" x14ac:dyDescent="0.3">
      <c r="A20" t="s">
        <v>110</v>
      </c>
      <c r="B20" s="4">
        <f>'Clean Data'!B9</f>
        <v>882987</v>
      </c>
    </row>
    <row r="21" spans="1:3" x14ac:dyDescent="0.3">
      <c r="A21" t="s">
        <v>122</v>
      </c>
      <c r="B21" s="4">
        <f>-'Clean Data'!B12</f>
        <v>-373002</v>
      </c>
    </row>
    <row r="22" spans="1:3" x14ac:dyDescent="0.3">
      <c r="A22" t="s">
        <v>111</v>
      </c>
      <c r="B22" s="4">
        <f>'Clean Data'!B13</f>
        <v>509985</v>
      </c>
    </row>
    <row r="23" spans="1:3" x14ac:dyDescent="0.3">
      <c r="A23" t="s">
        <v>123</v>
      </c>
      <c r="B23" s="4">
        <f>-'Clean Data'!B14</f>
        <v>-33109</v>
      </c>
    </row>
    <row r="24" spans="1:3" x14ac:dyDescent="0.3">
      <c r="A24" t="s">
        <v>124</v>
      </c>
      <c r="B24" s="4">
        <f>-'Clean Data'!B17</f>
        <v>-110758</v>
      </c>
    </row>
    <row r="25" spans="1:3" x14ac:dyDescent="0.3">
      <c r="A25" t="s">
        <v>125</v>
      </c>
      <c r="B25" s="4">
        <f>-'Clean Data'!B18</f>
        <v>-45219</v>
      </c>
    </row>
    <row r="26" spans="1:3" x14ac:dyDescent="0.3">
      <c r="A26" t="s">
        <v>126</v>
      </c>
      <c r="B26" s="4">
        <f>-'Clean Data'!B19</f>
        <v>-8808</v>
      </c>
    </row>
    <row r="27" spans="1:3" x14ac:dyDescent="0.3">
      <c r="A27" t="s">
        <v>127</v>
      </c>
      <c r="B27" s="4">
        <f>'Clean Data'!B16</f>
        <v>1526</v>
      </c>
    </row>
    <row r="28" spans="1:3" x14ac:dyDescent="0.3">
      <c r="A28" t="s">
        <v>112</v>
      </c>
      <c r="B28" s="4">
        <f>'Clean Data'!B20</f>
        <v>306884</v>
      </c>
    </row>
    <row r="29" spans="1:3" x14ac:dyDescent="0.3">
      <c r="A29" t="s">
        <v>128</v>
      </c>
      <c r="B29" s="4">
        <f>-'Clean Data'!B22</f>
        <v>-108613</v>
      </c>
    </row>
    <row r="30" spans="1:3" x14ac:dyDescent="0.3">
      <c r="A30" t="s">
        <v>129</v>
      </c>
      <c r="B30" s="4">
        <f>'Clean Data'!B24</f>
        <v>-9818</v>
      </c>
    </row>
    <row r="31" spans="1:3" x14ac:dyDescent="0.3">
      <c r="A31" t="s">
        <v>113</v>
      </c>
      <c r="B31" s="4">
        <f>'Clean Data'!B25</f>
        <v>188415</v>
      </c>
    </row>
    <row r="33" spans="1:3" x14ac:dyDescent="0.3">
      <c r="A33" t="s">
        <v>131</v>
      </c>
      <c r="B33" t="s">
        <v>137</v>
      </c>
      <c r="C33" t="s">
        <v>138</v>
      </c>
    </row>
    <row r="34" spans="1:3" x14ac:dyDescent="0.3">
      <c r="A34" t="s">
        <v>132</v>
      </c>
      <c r="B34" s="11">
        <f>'Analyse des Ratios'!B5</f>
        <v>0.21338366250012741</v>
      </c>
      <c r="C34" s="11">
        <f>'Analyse des Ratios'!C5</f>
        <v>0.20904199568482004</v>
      </c>
    </row>
    <row r="35" spans="1:3" x14ac:dyDescent="0.3">
      <c r="A35" t="s">
        <v>133</v>
      </c>
      <c r="B35" s="11">
        <f>'Analyse des Ratios'!B6</f>
        <v>2.181021736596379E-2</v>
      </c>
      <c r="C35" s="11">
        <f>'Analyse des Ratios'!C6</f>
        <v>2.2067310563772514E-2</v>
      </c>
    </row>
    <row r="36" spans="1:3" x14ac:dyDescent="0.3">
      <c r="A36" t="s">
        <v>134</v>
      </c>
      <c r="B36" s="11">
        <f>'Analyse des Ratios'!B7</f>
        <v>0.13349274669217281</v>
      </c>
      <c r="C36" s="11">
        <f>'Analyse des Ratios'!C7</f>
        <v>0.13088887351976086</v>
      </c>
    </row>
    <row r="37" spans="1:3" x14ac:dyDescent="0.3">
      <c r="A37" t="s">
        <v>58</v>
      </c>
      <c r="B37" s="11">
        <f>'Analyse des Ratios'!B8</f>
        <v>0.32311734658862518</v>
      </c>
      <c r="C37" s="11">
        <f>'Analyse des Ratios'!C8</f>
        <v>0.32060048122188511</v>
      </c>
    </row>
    <row r="38" spans="1:3" x14ac:dyDescent="0.3">
      <c r="A38" t="s">
        <v>135</v>
      </c>
      <c r="B38" s="11">
        <f>'Analyse des Ratios'!B16</f>
        <v>3.5428363596459296E-2</v>
      </c>
      <c r="C38" s="11">
        <f>'Analyse des Ratios'!C16</f>
        <v>3.5622627702898001E-2</v>
      </c>
    </row>
    <row r="39" spans="1:3" x14ac:dyDescent="0.3">
      <c r="A39" t="s">
        <v>136</v>
      </c>
      <c r="B39" s="11">
        <f>'Analyse des Ratios'!B12</f>
        <v>0.16338129154130746</v>
      </c>
      <c r="C39" s="11">
        <f>'Analyse des Ratios'!C12</f>
        <v>0.1685957711328375</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BD00E-539E-489C-9819-ED8C9E280AF8}">
  <dimension ref="A3:D13"/>
  <sheetViews>
    <sheetView topLeftCell="A4" zoomScale="95" zoomScaleNormal="95" workbookViewId="0">
      <selection activeCell="A15" sqref="A15"/>
    </sheetView>
  </sheetViews>
  <sheetFormatPr defaultRowHeight="14.4" x14ac:dyDescent="0.3"/>
  <cols>
    <col min="1" max="1" width="18.109375" bestFit="1" customWidth="1"/>
    <col min="2" max="2" width="15.5546875" bestFit="1" customWidth="1"/>
    <col min="3" max="3" width="10.44140625" bestFit="1" customWidth="1"/>
    <col min="4" max="4" width="10.77734375" hidden="1" customWidth="1"/>
  </cols>
  <sheetData>
    <row r="3" spans="1:4" x14ac:dyDescent="0.3">
      <c r="A3" s="61" t="s">
        <v>119</v>
      </c>
      <c r="B3" s="61" t="s">
        <v>118</v>
      </c>
    </row>
    <row r="4" spans="1:4" x14ac:dyDescent="0.3">
      <c r="A4" s="61" t="s">
        <v>116</v>
      </c>
      <c r="B4">
        <v>2023</v>
      </c>
      <c r="C4">
        <v>2024</v>
      </c>
      <c r="D4" t="s">
        <v>117</v>
      </c>
    </row>
    <row r="5" spans="1:4" x14ac:dyDescent="0.3">
      <c r="A5" s="62" t="s">
        <v>49</v>
      </c>
      <c r="B5" s="4">
        <v>1301310</v>
      </c>
      <c r="C5" s="4">
        <v>1411425</v>
      </c>
      <c r="D5" s="4">
        <v>2712735</v>
      </c>
    </row>
    <row r="6" spans="1:4" x14ac:dyDescent="0.3">
      <c r="A6" s="62" t="s">
        <v>115</v>
      </c>
      <c r="B6" s="4">
        <v>5827707</v>
      </c>
      <c r="C6" s="4">
        <v>6067260</v>
      </c>
      <c r="D6" s="4">
        <v>11894967</v>
      </c>
    </row>
    <row r="7" spans="1:4" x14ac:dyDescent="0.3">
      <c r="A7" s="62" t="s">
        <v>114</v>
      </c>
      <c r="B7" s="4">
        <v>5803572</v>
      </c>
      <c r="C7" s="4">
        <v>6695428</v>
      </c>
      <c r="D7" s="4">
        <v>12499000</v>
      </c>
    </row>
    <row r="8" spans="1:4" x14ac:dyDescent="0.3">
      <c r="A8" s="62" t="s">
        <v>111</v>
      </c>
      <c r="B8" s="4">
        <v>477950</v>
      </c>
      <c r="C8" s="4">
        <v>509985</v>
      </c>
      <c r="D8" s="4">
        <v>987935</v>
      </c>
    </row>
    <row r="9" spans="1:4" x14ac:dyDescent="0.3">
      <c r="A9" s="62" t="s">
        <v>112</v>
      </c>
      <c r="B9" s="4">
        <v>256369</v>
      </c>
      <c r="C9" s="4">
        <v>306884</v>
      </c>
      <c r="D9" s="4">
        <v>563253</v>
      </c>
    </row>
    <row r="10" spans="1:4" x14ac:dyDescent="0.3">
      <c r="A10" s="62" t="s">
        <v>113</v>
      </c>
      <c r="B10" s="4">
        <v>170327</v>
      </c>
      <c r="C10" s="4">
        <v>188415</v>
      </c>
      <c r="D10" s="4">
        <v>358742</v>
      </c>
    </row>
    <row r="11" spans="1:4" x14ac:dyDescent="0.3">
      <c r="A11" s="62" t="s">
        <v>15</v>
      </c>
      <c r="B11" s="4">
        <v>7718521</v>
      </c>
      <c r="C11" s="4">
        <v>8638841</v>
      </c>
      <c r="D11" s="4">
        <v>16357362</v>
      </c>
    </row>
    <row r="12" spans="1:4" x14ac:dyDescent="0.3">
      <c r="A12" s="62" t="s">
        <v>110</v>
      </c>
      <c r="B12" s="4">
        <v>814798</v>
      </c>
      <c r="C12" s="4">
        <v>882987</v>
      </c>
      <c r="D12" s="4">
        <v>1697785</v>
      </c>
    </row>
    <row r="13" spans="1:4" x14ac:dyDescent="0.3">
      <c r="A13" s="62" t="s">
        <v>117</v>
      </c>
      <c r="B13" s="4">
        <v>22370554</v>
      </c>
      <c r="C13" s="4">
        <v>24701225</v>
      </c>
      <c r="D13" s="4">
        <v>47071779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E96E-F0EA-48CC-8FE8-B35811F002DD}">
  <dimension ref="A1:Z39"/>
  <sheetViews>
    <sheetView showGridLines="0" tabSelected="1" zoomScale="70" zoomScaleNormal="70" workbookViewId="0">
      <selection activeCell="AD16" sqref="AD16"/>
    </sheetView>
  </sheetViews>
  <sheetFormatPr defaultRowHeight="14.4" x14ac:dyDescent="0.3"/>
  <sheetData>
    <row r="1" spans="1:26" ht="34.950000000000003" customHeight="1" x14ac:dyDescent="0.3">
      <c r="A1" s="96" t="s">
        <v>120</v>
      </c>
      <c r="B1" s="96"/>
      <c r="C1" s="96"/>
      <c r="D1" s="96"/>
      <c r="E1" s="96"/>
      <c r="F1" s="96"/>
      <c r="G1" s="96"/>
      <c r="H1" s="96"/>
      <c r="I1" s="96"/>
      <c r="J1" s="96"/>
      <c r="K1" s="96"/>
      <c r="L1" s="96"/>
      <c r="M1" s="96"/>
      <c r="N1" s="96"/>
      <c r="O1" s="96"/>
      <c r="P1" s="96"/>
      <c r="Q1" s="96"/>
      <c r="R1" s="96"/>
      <c r="S1" s="96"/>
      <c r="T1" s="96"/>
      <c r="U1" s="96"/>
      <c r="V1" s="96"/>
      <c r="W1" s="96"/>
      <c r="X1" s="96"/>
      <c r="Y1" s="96"/>
      <c r="Z1" s="96"/>
    </row>
    <row r="19" spans="1:26" ht="25.8" customHeight="1" x14ac:dyDescent="0.3">
      <c r="A19" s="95" t="s">
        <v>139</v>
      </c>
      <c r="B19" s="95"/>
      <c r="C19" s="95"/>
      <c r="D19" s="95"/>
      <c r="E19" s="95"/>
      <c r="F19" s="95"/>
      <c r="G19" s="95"/>
      <c r="H19" s="95"/>
      <c r="I19" s="95"/>
      <c r="J19" s="95"/>
      <c r="K19" s="95"/>
      <c r="L19" s="95"/>
      <c r="M19" s="95"/>
      <c r="N19" s="95"/>
      <c r="O19" s="95"/>
      <c r="P19" s="95"/>
      <c r="Q19" s="95" t="s">
        <v>140</v>
      </c>
      <c r="R19" s="95"/>
      <c r="S19" s="95"/>
      <c r="T19" s="95"/>
      <c r="U19" s="95"/>
      <c r="V19" s="95"/>
      <c r="W19" s="95"/>
      <c r="X19" s="95"/>
      <c r="Y19" s="95"/>
      <c r="Z19" s="95"/>
    </row>
    <row r="20" spans="1:26" ht="14.4" customHeight="1" x14ac:dyDescent="0.3"/>
    <row r="39" spans="1:11" x14ac:dyDescent="0.3">
      <c r="A39" s="69" t="s">
        <v>141</v>
      </c>
      <c r="B39" s="69"/>
      <c r="C39" s="69"/>
      <c r="D39" s="69"/>
      <c r="E39" s="69"/>
      <c r="F39" s="69"/>
      <c r="G39" s="69"/>
      <c r="H39" s="69"/>
      <c r="I39" s="69"/>
      <c r="J39" s="69"/>
      <c r="K39" s="69"/>
    </row>
  </sheetData>
  <mergeCells count="4">
    <mergeCell ref="Q19:Z19"/>
    <mergeCell ref="A19:P19"/>
    <mergeCell ref="A39:K39"/>
    <mergeCell ref="A1:Z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E98C6745DD8E4EB8FB8EFA12C23146" ma:contentTypeVersion="5" ma:contentTypeDescription="Create a new document." ma:contentTypeScope="" ma:versionID="3f7ac529f6784d43af3e2475c34c5cdc">
  <xsd:schema xmlns:xsd="http://www.w3.org/2001/XMLSchema" xmlns:xs="http://www.w3.org/2001/XMLSchema" xmlns:p="http://schemas.microsoft.com/office/2006/metadata/properties" xmlns:ns3="7951fdbb-df6c-43ce-8146-c18e45910c75" targetNamespace="http://schemas.microsoft.com/office/2006/metadata/properties" ma:root="true" ma:fieldsID="c870f810fdff18af0a0ee57f5bf918ef" ns3:_="">
    <xsd:import namespace="7951fdbb-df6c-43ce-8146-c18e45910c75"/>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fdbb-df6c-43ce-8146-c18e45910c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95D7AC-F108-4375-A1F6-1CBF9480F840}">
  <ds:schemaRefs>
    <ds:schemaRef ds:uri="http://purl.org/dc/elements/1.1/"/>
    <ds:schemaRef ds:uri="http://www.w3.org/XML/1998/namespace"/>
    <ds:schemaRef ds:uri="http://schemas.microsoft.com/office/infopath/2007/PartnerControls"/>
    <ds:schemaRef ds:uri="http://schemas.microsoft.com/office/2006/documentManagement/types"/>
    <ds:schemaRef ds:uri="http://purl.org/dc/dcmitype/"/>
    <ds:schemaRef ds:uri="http://schemas.microsoft.com/office/2006/metadata/properties"/>
    <ds:schemaRef ds:uri="http://schemas.openxmlformats.org/package/2006/metadata/core-properties"/>
    <ds:schemaRef ds:uri="7951fdbb-df6c-43ce-8146-c18e45910c75"/>
    <ds:schemaRef ds:uri="http://purl.org/dc/terms/"/>
  </ds:schemaRefs>
</ds:datastoreItem>
</file>

<file path=customXml/itemProps2.xml><?xml version="1.0" encoding="utf-8"?>
<ds:datastoreItem xmlns:ds="http://schemas.openxmlformats.org/officeDocument/2006/customXml" ds:itemID="{1D4FBB41-4627-4F68-8E3A-32EABF14FD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fdbb-df6c-43ce-8146-c18e45910c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677A68-58F9-46C2-81C7-F407116859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 Data</vt:lpstr>
      <vt:lpstr>Analyse des Ratios</vt:lpstr>
      <vt:lpstr>Analyse des tendences </vt:lpstr>
      <vt:lpstr>Résumé exécutif</vt:lpstr>
      <vt:lpstr>Pivot_Source</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hammemikarim</dc:creator>
  <cp:lastModifiedBy>hammemikarim</cp:lastModifiedBy>
  <dcterms:created xsi:type="dcterms:W3CDTF">2026-04-07T19:39:08Z</dcterms:created>
  <dcterms:modified xsi:type="dcterms:W3CDTF">2026-06-19T20:58:48Z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0x010100C0E98C6745DD8E4EB8FB8EFA12C23146</vt:lpwstr>
  </property>
</Properties>
</file>